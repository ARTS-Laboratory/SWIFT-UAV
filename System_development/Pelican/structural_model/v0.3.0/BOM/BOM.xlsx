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atthew_burnett_sc_edu/Documents/UAV/SWIFT-UAV/System_development/Pelican/structural_model/v0.3.0/BOM/"/>
    </mc:Choice>
  </mc:AlternateContent>
  <xr:revisionPtr revIDLastSave="30" documentId="13_ncr:1_{00CFB75F-51B9-43AE-8AA6-13C529ACA0A6}" xr6:coauthVersionLast="47" xr6:coauthVersionMax="47" xr10:uidLastSave="{9B931A6E-3FDE-48D3-B69B-4BB16986A84A}"/>
  <bookViews>
    <workbookView xWindow="-120" yWindow="-120" windowWidth="38640" windowHeight="21120" xr2:uid="{00000000-000D-0000-FFFF-FFFF00000000}"/>
  </bookViews>
  <sheets>
    <sheet name="Needed" sheetId="3" r:id="rId1"/>
    <sheet name="Detailed" sheetId="1" r:id="rId2"/>
    <sheet name="Battery Calc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" l="1"/>
  <c r="G8" i="3"/>
  <c r="E27" i="1"/>
  <c r="G4" i="3"/>
  <c r="G18" i="3" s="1"/>
  <c r="E26" i="1"/>
  <c r="E25" i="1"/>
  <c r="E24" i="1"/>
  <c r="E23" i="1"/>
  <c r="E22" i="1"/>
  <c r="E21" i="1"/>
  <c r="E20" i="1"/>
  <c r="E19" i="1"/>
  <c r="E16" i="1"/>
  <c r="E15" i="1"/>
  <c r="E14" i="1"/>
  <c r="E13" i="1"/>
  <c r="E12" i="1"/>
  <c r="E11" i="1"/>
  <c r="E10" i="1"/>
  <c r="E8" i="1"/>
  <c r="E6" i="1"/>
  <c r="E5" i="1"/>
  <c r="E4" i="1"/>
  <c r="G17" i="3"/>
  <c r="G16" i="3"/>
  <c r="G15" i="3"/>
  <c r="G14" i="3"/>
  <c r="G12" i="3"/>
  <c r="G9" i="3"/>
  <c r="G7" i="3"/>
  <c r="G6" i="3"/>
  <c r="G5" i="3"/>
  <c r="A43" i="2"/>
  <c r="A40" i="2"/>
  <c r="M32" i="2"/>
  <c r="M28" i="2"/>
  <c r="H32" i="2"/>
  <c r="H28" i="2"/>
  <c r="C28" i="2"/>
  <c r="C32" i="2"/>
  <c r="E23" i="2"/>
</calcChain>
</file>

<file path=xl/sharedStrings.xml><?xml version="1.0" encoding="utf-8"?>
<sst xmlns="http://schemas.openxmlformats.org/spreadsheetml/2006/main" count="167" uniqueCount="96">
  <si>
    <t>Name</t>
  </si>
  <si>
    <t>Quanitity</t>
  </si>
  <si>
    <t>Price</t>
  </si>
  <si>
    <t>Total Price</t>
  </si>
  <si>
    <t>Source</t>
  </si>
  <si>
    <t>Fuselage</t>
  </si>
  <si>
    <t>3D printed</t>
  </si>
  <si>
    <t>Front Cover</t>
  </si>
  <si>
    <t>Wings</t>
  </si>
  <si>
    <t>Tail</t>
  </si>
  <si>
    <t>Aluminum 20x20</t>
  </si>
  <si>
    <t>Link</t>
  </si>
  <si>
    <t>M5</t>
  </si>
  <si>
    <t>T-Slot Nut</t>
  </si>
  <si>
    <t>T-Plate</t>
  </si>
  <si>
    <t>PixHawk 6x Flight Controller</t>
  </si>
  <si>
    <t>Motor</t>
  </si>
  <si>
    <t>Propeller</t>
  </si>
  <si>
    <t>Pitot</t>
  </si>
  <si>
    <t>VTX</t>
  </si>
  <si>
    <t>GPS</t>
  </si>
  <si>
    <t>ESC</t>
  </si>
  <si>
    <t>KST DS215MG</t>
  </si>
  <si>
    <t>Telemetry Radio</t>
  </si>
  <si>
    <t>Wire Extensions</t>
  </si>
  <si>
    <t>Total</t>
  </si>
  <si>
    <t>Number of Cells</t>
  </si>
  <si>
    <t>Lift Force (N)</t>
  </si>
  <si>
    <t>CL</t>
  </si>
  <si>
    <t>AOA (degrees)</t>
  </si>
  <si>
    <t>Lift (N)</t>
  </si>
  <si>
    <t>Speed (m/s)</t>
  </si>
  <si>
    <t>(AOA 3)</t>
  </si>
  <si>
    <t>(AOA 2)</t>
  </si>
  <si>
    <t>Variations</t>
  </si>
  <si>
    <t>Results</t>
  </si>
  <si>
    <t>AOA (deg)</t>
  </si>
  <si>
    <t>Flight Velocity (m/s)</t>
  </si>
  <si>
    <t>CD</t>
  </si>
  <si>
    <t>CM</t>
  </si>
  <si>
    <t>Drag Force (N)</t>
  </si>
  <si>
    <t xml:space="preserve">~ 20kg of lift </t>
  </si>
  <si>
    <t>Assume</t>
  </si>
  <si>
    <t>20kgf lift</t>
  </si>
  <si>
    <t>3 kgf drag</t>
  </si>
  <si>
    <t>L/D ratio</t>
  </si>
  <si>
    <t>(cesna is 9 for context)</t>
  </si>
  <si>
    <t>Very conservative estimate (will likley be closer to 2kgf)</t>
  </si>
  <si>
    <t>Engine sizing</t>
  </si>
  <si>
    <t>Config 1</t>
  </si>
  <si>
    <t>10S 19x10</t>
  </si>
  <si>
    <t>Cruise @</t>
  </si>
  <si>
    <t>11 Amps</t>
  </si>
  <si>
    <t>12S 19x10</t>
  </si>
  <si>
    <t>Max thrust (TWR)</t>
  </si>
  <si>
    <t>9.1 Amps</t>
  </si>
  <si>
    <t>Config 2</t>
  </si>
  <si>
    <t>Config 3</t>
  </si>
  <si>
    <t>Config 4</t>
  </si>
  <si>
    <t>10S 20x10</t>
  </si>
  <si>
    <t>12S 20x10</t>
  </si>
  <si>
    <t>10.1 Amps</t>
  </si>
  <si>
    <t>Config 5</t>
  </si>
  <si>
    <t>Config 6</t>
  </si>
  <si>
    <t>10S 21x10</t>
  </si>
  <si>
    <t>12S 21x10</t>
  </si>
  <si>
    <t>8.6 Amps</t>
  </si>
  <si>
    <t>8 Amps</t>
  </si>
  <si>
    <t>Battey sizing</t>
  </si>
  <si>
    <t>Clearly 21x10 prop</t>
  </si>
  <si>
    <t>Target 1hr cruise</t>
  </si>
  <si>
    <t>assume 120% cruise capacity for take of and landing use</t>
  </si>
  <si>
    <t>Config 5 10S</t>
  </si>
  <si>
    <t>Ah</t>
  </si>
  <si>
    <t>Battery weight</t>
  </si>
  <si>
    <t>Config 6 12S</t>
  </si>
  <si>
    <t>1Kg</t>
  </si>
  <si>
    <t>https://zeeebattery.com/collections/zeee-6s-lipo-battery/products/zeee-6s-lipo-battery-10000mah-22-2v-120c-ec5</t>
  </si>
  <si>
    <t>* currently on sale for 306</t>
  </si>
  <si>
    <t>*separate into must haves to fly and extra credit</t>
  </si>
  <si>
    <t>Description + Specificers + Manufactuerer Name</t>
  </si>
  <si>
    <t>Remote ID Module</t>
  </si>
  <si>
    <t xml:space="preserve">TX </t>
  </si>
  <si>
    <t>RX</t>
  </si>
  <si>
    <t xml:space="preserve">Voltage Step Down </t>
  </si>
  <si>
    <t>6 m</t>
  </si>
  <si>
    <t>LiPo 6s Battery (two pack)</t>
  </si>
  <si>
    <t xml:space="preserve">M6 </t>
  </si>
  <si>
    <t xml:space="preserve">Spare Required </t>
  </si>
  <si>
    <t>KST DS215MG Servo</t>
  </si>
  <si>
    <t>Running Low</t>
  </si>
  <si>
    <t>Currently on sale for 306</t>
  </si>
  <si>
    <t xml:space="preserve">Can order at </t>
  </si>
  <si>
    <t>FAA Required | w/o case</t>
  </si>
  <si>
    <t xml:space="preserve"> For servos</t>
  </si>
  <si>
    <t>Needed BOM omits parts the Iron bird will never need or parts that can readily be used for both, (video transmision for example)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</si>
</sst>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2" fillId="0" borderId="2" xfId="0" applyFont="1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3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0" fontId="0" fillId="0" borderId="0" xfId="0" applyNumberFormat="1"/>
    <xf numFmtId="0" fontId="0" fillId="2" borderId="0" xfId="0" applyFill="1"/>
    <xf numFmtId="0" fontId="3" fillId="0" borderId="0" xfId="0" applyFont="1"/>
    <xf numFmtId="9" fontId="0" fillId="0" borderId="0" xfId="0" applyNumberFormat="1"/>
    <xf numFmtId="0" fontId="4" fillId="0" borderId="0" xfId="0" applyFont="1"/>
    <xf numFmtId="0" fontId="0" fillId="3" borderId="0" xfId="0" applyFill="1"/>
    <xf numFmtId="0" fontId="0" fillId="4" borderId="0" xfId="0" applyFill="1"/>
    <xf numFmtId="0" fontId="3" fillId="0" borderId="3" xfId="0" applyFont="1" applyBorder="1"/>
    <xf numFmtId="0" fontId="0" fillId="0" borderId="5" xfId="0" applyBorder="1" applyAlignment="1">
      <alignment horizontal="center"/>
    </xf>
    <xf numFmtId="164" fontId="5" fillId="5" borderId="3" xfId="0" applyNumberFormat="1" applyFont="1" applyFill="1" applyBorder="1"/>
    <xf numFmtId="164" fontId="5" fillId="0" borderId="3" xfId="0" applyNumberFormat="1" applyFont="1" applyBorder="1"/>
    <xf numFmtId="0" fontId="0" fillId="5" borderId="2" xfId="0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2" fillId="5" borderId="2" xfId="0" applyFont="1" applyFill="1" applyBorder="1"/>
    <xf numFmtId="0" fontId="0" fillId="0" borderId="11" xfId="0" applyBorder="1" applyAlignment="1">
      <alignment horizontal="center"/>
    </xf>
    <xf numFmtId="0" fontId="1" fillId="0" borderId="3" xfId="1" applyBorder="1"/>
    <xf numFmtId="0" fontId="1" fillId="0" borderId="3" xfId="1" applyFill="1" applyBorder="1"/>
    <xf numFmtId="0" fontId="1" fillId="5" borderId="3" xfId="1" applyFill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right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0" borderId="3" xfId="0" applyFont="1" applyBorder="1"/>
    <xf numFmtId="0" fontId="0" fillId="5" borderId="3" xfId="0" applyFill="1" applyBorder="1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center"/>
    </xf>
    <xf numFmtId="164" fontId="6" fillId="2" borderId="3" xfId="0" applyNumberFormat="1" applyFont="1" applyFill="1" applyBorder="1"/>
    <xf numFmtId="164" fontId="4" fillId="2" borderId="3" xfId="0" applyNumberFormat="1" applyFont="1" applyFill="1" applyBorder="1"/>
    <xf numFmtId="0" fontId="1" fillId="2" borderId="3" xfId="1" applyFill="1" applyBorder="1"/>
    <xf numFmtId="0" fontId="6" fillId="2" borderId="10" xfId="0" applyFont="1" applyFill="1" applyBorder="1" applyAlignment="1">
      <alignment horizontal="right"/>
    </xf>
    <xf numFmtId="0" fontId="0" fillId="2" borderId="2" xfId="0" applyFill="1" applyBorder="1"/>
    <xf numFmtId="0" fontId="0" fillId="2" borderId="3" xfId="0" applyFill="1" applyBorder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yurl.com/3ffam8a5" TargetMode="External"/><Relationship Id="rId13" Type="http://schemas.openxmlformats.org/officeDocument/2006/relationships/hyperlink" Target="https://www.ebay.com/itm/167641152972" TargetMode="External"/><Relationship Id="rId3" Type="http://schemas.openxmlformats.org/officeDocument/2006/relationships/hyperlink" Target="https://tinyurl.com/4ffmuvcu" TargetMode="External"/><Relationship Id="rId7" Type="http://schemas.openxmlformats.org/officeDocument/2006/relationships/hyperlink" Target="https://tinyurl.com/mvby7523" TargetMode="External"/><Relationship Id="rId12" Type="http://schemas.openxmlformats.org/officeDocument/2006/relationships/hyperlink" Target="https://www.getfpv.com/mateksys-12s-pro-bec-9-55v-to-5v-8v-12v-5a.html?srsltid=AfmBOoodUIdCnkukmW-JSWukazHrJtl7F5amj1dFrbuTs6mccJOsmyfB" TargetMode="External"/><Relationship Id="rId2" Type="http://schemas.openxmlformats.org/officeDocument/2006/relationships/hyperlink" Target="https://tinyurl.com/4dfjr2ct" TargetMode="External"/><Relationship Id="rId1" Type="http://schemas.openxmlformats.org/officeDocument/2006/relationships/hyperlink" Target="https://www.aliexpress.us/item/3256808146819631.html?src=google&amp;pdp_npi=4%40dis%21USD%211.03%210.97%21%21%21%21%21%40%2112000044630052098%21ppc%21%21%21&amp;gatewayAdapt=glo2usa" TargetMode="External"/><Relationship Id="rId6" Type="http://schemas.openxmlformats.org/officeDocument/2006/relationships/hyperlink" Target="https://www.horizonhobby.com/product/SPMSH3055.html?utm_source=google&amp;utm_medium=cpc&amp;utm_campaign=pmax_catch-all-proprietary&amp;utm_campaignid=23183978590&amp;adgroupid=&amp;utm_content=&amp;utm_term=::matchtype_&amp;utm_campaign=pmax_catch-all-proprietary&amp;utm_device=c&amp;gad_source=4&amp;gad_campaignid=23174403537&amp;gbraid=0AAAAAD_XYFmJppL2MGVieH7_Hj_d1PuUZ&amp;gclid=Cj0KCQiA7-rMBhCFARIsAKnLKtAwp58GyHe9h1CZ1p1wJNthgW1_sNEk_6e1uM5qVO2__sPD5Gf2aegaAjLQEALw_wcB" TargetMode="External"/><Relationship Id="rId11" Type="http://schemas.openxmlformats.org/officeDocument/2006/relationships/hyperlink" Target="https://holybro.com/products/remote-id?variant=43034167312573" TargetMode="External"/><Relationship Id="rId5" Type="http://schemas.openxmlformats.org/officeDocument/2006/relationships/hyperlink" Target="https://tinyurl.com/y4ey9ss9" TargetMode="External"/><Relationship Id="rId10" Type="http://schemas.openxmlformats.org/officeDocument/2006/relationships/hyperlink" Target="https://mad-motor.com/products/21-inch-carbon-fiber-propeller-1pc?VariantsId=10269" TargetMode="External"/><Relationship Id="rId4" Type="http://schemas.openxmlformats.org/officeDocument/2006/relationships/hyperlink" Target="https://tinyurl.com/mvcsa2zp" TargetMode="External"/><Relationship Id="rId9" Type="http://schemas.openxmlformats.org/officeDocument/2006/relationships/hyperlink" Target="https://zeeebattery.com/collections/zeee-6s-lipo-battery/products/zeee-6s-lipo-battery-10000mah-22-2v-120c-ec5" TargetMode="External"/><Relationship Id="rId14" Type="http://schemas.openxmlformats.org/officeDocument/2006/relationships/hyperlink" Target="https://holybro.com/products/pixhawk-6x?variant=44390763430077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rizonhobby.com/product/SPMSH3055.html?utm_source=google&amp;utm_medium=cpc&amp;utm_campaign=pmax_catch-all-proprietary&amp;utm_campaignid=23183978590&amp;adgroupid=&amp;utm_content=&amp;utm_term=::matchtype_&amp;utm_campaign=pmax_catch-all-proprietary&amp;utm_device=c&amp;gad_source=4&amp;gad_campaignid=23174403537&amp;gbraid=0AAAAAD_XYFmJppL2MGVieH7_Hj_d1PuUZ&amp;gclid=Cj0KCQiA7-rMBhCFARIsAKnLKtAwp58GyHe9h1CZ1p1wJNthgW1_sNEk_6e1uM5qVO2__sPD5Gf2aegaAjLQEALw_wcB" TargetMode="External"/><Relationship Id="rId13" Type="http://schemas.openxmlformats.org/officeDocument/2006/relationships/hyperlink" Target="https://mad-motor.com/products/21-inch-carbon-fiber-propeller-1pc?VariantsId=10269" TargetMode="External"/><Relationship Id="rId18" Type="http://schemas.openxmlformats.org/officeDocument/2006/relationships/hyperlink" Target="https://www.vevor.com/aluminum-extrusion-linear-rail-c_44271/10pcs-78-7-in-2000mm-t-slot-2020-aluminum-extrusion-anodized-linear-rail-p_010564031144" TargetMode="External"/><Relationship Id="rId3" Type="http://schemas.openxmlformats.org/officeDocument/2006/relationships/hyperlink" Target="https://tinyurl.com/4dfjr2ct" TargetMode="External"/><Relationship Id="rId7" Type="http://schemas.openxmlformats.org/officeDocument/2006/relationships/hyperlink" Target="https://tinyurl.com/y4ey9ss9" TargetMode="External"/><Relationship Id="rId12" Type="http://schemas.openxmlformats.org/officeDocument/2006/relationships/hyperlink" Target="https://holybro.com/products/pixhawk-6x?variant=44390763430077" TargetMode="External"/><Relationship Id="rId17" Type="http://schemas.openxmlformats.org/officeDocument/2006/relationships/hyperlink" Target="https://www.getfpv.com/mateksys-12s-pro-bec-9-55v-to-5v-8v-12v-5a.html?srsltid=AfmBOoodUIdCnkukmW-JSWukazHrJtl7F5amj1dFrbuTs6mccJOsmyfB" TargetMode="External"/><Relationship Id="rId2" Type="http://schemas.openxmlformats.org/officeDocument/2006/relationships/hyperlink" Target="https://tinyurl.com/msezv4u3" TargetMode="External"/><Relationship Id="rId16" Type="http://schemas.openxmlformats.org/officeDocument/2006/relationships/hyperlink" Target="https://www.getfpv.com/radios/receiver-transmitter-combos/happymodel-expresslrs-es900tx-es900rx-long-range-combo.html" TargetMode="External"/><Relationship Id="rId1" Type="http://schemas.openxmlformats.org/officeDocument/2006/relationships/hyperlink" Target="https://www.aliexpress.us/item/3256808146819631.html?src=google&amp;pdp_npi=4%40dis%21USD%211.03%210.97%21%21%21%21%21%40%2112000044630052098%21ppc%21%21%21&amp;gatewayAdapt=glo2usa" TargetMode="External"/><Relationship Id="rId6" Type="http://schemas.openxmlformats.org/officeDocument/2006/relationships/hyperlink" Target="https://tinyurl.com/mvcsa2zp" TargetMode="External"/><Relationship Id="rId11" Type="http://schemas.openxmlformats.org/officeDocument/2006/relationships/hyperlink" Target="https://zeeebattery.com/collections/zeee-6s-lipo-battery/products/zeee-6s-lipo-battery-10000mah-22-2v-120c-ec5" TargetMode="External"/><Relationship Id="rId5" Type="http://schemas.openxmlformats.org/officeDocument/2006/relationships/hyperlink" Target="https://tinyurl.com/4ffmuvcu" TargetMode="External"/><Relationship Id="rId15" Type="http://schemas.openxmlformats.org/officeDocument/2006/relationships/hyperlink" Target="https://holybro.com/products/radiomaster-tx16s?variant=42712982225085&amp;country=US&amp;currency=USD&amp;utm_medium=product_sync&amp;utm_source=google&amp;utm_content=sag_organic&amp;utm_campaign=sag_organic&amp;srsltid=AfmBOoqKj_GNmC02aJQMy9IzYNoZRgGUwY4mY-hOJf2L8apoJO5ujOBv5nQ" TargetMode="External"/><Relationship Id="rId10" Type="http://schemas.openxmlformats.org/officeDocument/2006/relationships/hyperlink" Target="https://tinyurl.com/3ffam8a5" TargetMode="External"/><Relationship Id="rId19" Type="http://schemas.openxmlformats.org/officeDocument/2006/relationships/hyperlink" Target="https://www.grainger.com/product/80-20-T-Slot-Framing-Extrusion-Square-16U247" TargetMode="External"/><Relationship Id="rId4" Type="http://schemas.openxmlformats.org/officeDocument/2006/relationships/hyperlink" Target="https://www.ebay.com/itm/167641152972" TargetMode="External"/><Relationship Id="rId9" Type="http://schemas.openxmlformats.org/officeDocument/2006/relationships/hyperlink" Target="https://tinyurl.com/mvby7523" TargetMode="External"/><Relationship Id="rId14" Type="http://schemas.openxmlformats.org/officeDocument/2006/relationships/hyperlink" Target="https://holybro.com/products/remote-id?variant=430341673125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3E270-438B-4BA7-BB0E-5AFFB906487D}">
  <dimension ref="A1:I19"/>
  <sheetViews>
    <sheetView tabSelected="1" zoomScale="115" zoomScaleNormal="115" workbookViewId="0">
      <selection activeCell="C14" sqref="C14"/>
    </sheetView>
  </sheetViews>
  <sheetFormatPr defaultRowHeight="15" x14ac:dyDescent="0.25"/>
  <cols>
    <col min="3" max="3" width="20.28515625" customWidth="1"/>
    <col min="4" max="4" width="25.28515625" customWidth="1"/>
    <col min="6" max="6" width="17.5703125" customWidth="1"/>
    <col min="7" max="7" width="20.42578125" customWidth="1"/>
    <col min="8" max="8" width="17.7109375" customWidth="1"/>
    <col min="9" max="9" width="46.28515625" customWidth="1"/>
  </cols>
  <sheetData>
    <row r="1" spans="1:9" x14ac:dyDescent="0.25">
      <c r="A1" s="51" t="s">
        <v>95</v>
      </c>
      <c r="B1" s="51"/>
      <c r="C1" s="51"/>
    </row>
    <row r="2" spans="1:9" ht="42" customHeight="1" x14ac:dyDescent="0.25">
      <c r="A2" s="51"/>
      <c r="B2" s="51"/>
      <c r="C2" s="51"/>
    </row>
    <row r="3" spans="1:9" x14ac:dyDescent="0.25">
      <c r="D3" s="1" t="s">
        <v>0</v>
      </c>
      <c r="E3" s="1" t="s">
        <v>1</v>
      </c>
      <c r="F3" s="1" t="s">
        <v>2</v>
      </c>
      <c r="G3" s="1" t="s">
        <v>3</v>
      </c>
      <c r="H3" s="31" t="s">
        <v>4</v>
      </c>
      <c r="I3" s="35" t="s">
        <v>80</v>
      </c>
    </row>
    <row r="4" spans="1:9" x14ac:dyDescent="0.25">
      <c r="D4" s="2" t="s">
        <v>13</v>
      </c>
      <c r="E4" s="3">
        <v>2</v>
      </c>
      <c r="F4" s="4">
        <v>1.6</v>
      </c>
      <c r="G4" s="4">
        <f>E4*F4</f>
        <v>3.2</v>
      </c>
      <c r="H4" s="32" t="s">
        <v>11</v>
      </c>
      <c r="I4" s="36" t="s">
        <v>90</v>
      </c>
    </row>
    <row r="5" spans="1:9" x14ac:dyDescent="0.25">
      <c r="D5" s="2" t="s">
        <v>16</v>
      </c>
      <c r="E5" s="3">
        <v>1</v>
      </c>
      <c r="F5" s="4">
        <v>189</v>
      </c>
      <c r="G5" s="4">
        <f t="shared" ref="G5:G16" si="0">E5*F5</f>
        <v>189</v>
      </c>
      <c r="H5" s="32" t="s">
        <v>11</v>
      </c>
      <c r="I5" s="36"/>
    </row>
    <row r="6" spans="1:9" x14ac:dyDescent="0.25">
      <c r="D6" s="2" t="s">
        <v>17</v>
      </c>
      <c r="E6" s="41">
        <v>2</v>
      </c>
      <c r="F6" s="4">
        <v>79</v>
      </c>
      <c r="G6" s="4">
        <f t="shared" si="0"/>
        <v>158</v>
      </c>
      <c r="H6" s="33" t="s">
        <v>11</v>
      </c>
      <c r="I6" s="37" t="s">
        <v>88</v>
      </c>
    </row>
    <row r="7" spans="1:9" x14ac:dyDescent="0.25">
      <c r="D7" s="2" t="s">
        <v>18</v>
      </c>
      <c r="E7" s="3">
        <v>1</v>
      </c>
      <c r="F7" s="4">
        <v>49.99</v>
      </c>
      <c r="G7" s="4">
        <f t="shared" si="0"/>
        <v>49.99</v>
      </c>
      <c r="H7" s="32" t="s">
        <v>11</v>
      </c>
      <c r="I7" s="36"/>
    </row>
    <row r="8" spans="1:9" x14ac:dyDescent="0.25">
      <c r="D8" s="27" t="s">
        <v>19</v>
      </c>
      <c r="E8" s="28">
        <v>1</v>
      </c>
      <c r="F8" s="29">
        <v>33.99</v>
      </c>
      <c r="G8" s="29">
        <f t="shared" si="0"/>
        <v>33.99</v>
      </c>
      <c r="H8" s="34" t="s">
        <v>11</v>
      </c>
      <c r="I8" s="36"/>
    </row>
    <row r="9" spans="1:9" x14ac:dyDescent="0.25">
      <c r="D9" s="2" t="s">
        <v>20</v>
      </c>
      <c r="E9" s="3">
        <v>1</v>
      </c>
      <c r="F9" s="4">
        <v>43.99</v>
      </c>
      <c r="G9" s="4">
        <f t="shared" si="0"/>
        <v>43.99</v>
      </c>
      <c r="H9" s="32" t="s">
        <v>11</v>
      </c>
      <c r="I9" s="36"/>
    </row>
    <row r="10" spans="1:9" x14ac:dyDescent="0.25">
      <c r="D10" s="49" t="s">
        <v>86</v>
      </c>
      <c r="E10" s="50">
        <v>1</v>
      </c>
      <c r="F10" s="45">
        <v>429.99</v>
      </c>
      <c r="G10" s="46">
        <v>306</v>
      </c>
      <c r="H10" s="47" t="s">
        <v>11</v>
      </c>
      <c r="I10" s="48" t="s">
        <v>91</v>
      </c>
    </row>
    <row r="11" spans="1:9" x14ac:dyDescent="0.25">
      <c r="D11" s="27" t="s">
        <v>84</v>
      </c>
      <c r="E11" s="28">
        <v>1</v>
      </c>
      <c r="F11" s="25">
        <v>24.99</v>
      </c>
      <c r="G11" s="25">
        <v>24.99</v>
      </c>
      <c r="H11" s="34" t="s">
        <v>11</v>
      </c>
      <c r="I11" s="37" t="s">
        <v>94</v>
      </c>
    </row>
    <row r="12" spans="1:9" x14ac:dyDescent="0.25">
      <c r="D12" s="2" t="s">
        <v>21</v>
      </c>
      <c r="E12" s="3">
        <v>1</v>
      </c>
      <c r="F12" s="4">
        <v>65</v>
      </c>
      <c r="G12" s="4">
        <f t="shared" si="0"/>
        <v>65</v>
      </c>
      <c r="H12" s="32" t="s">
        <v>11</v>
      </c>
      <c r="I12" s="36"/>
    </row>
    <row r="13" spans="1:9" x14ac:dyDescent="0.25">
      <c r="D13" s="5" t="s">
        <v>15</v>
      </c>
      <c r="E13" s="3">
        <v>1</v>
      </c>
      <c r="F13" s="4">
        <v>280</v>
      </c>
      <c r="G13" s="4">
        <f t="shared" ref="G13" si="1">E13*F13</f>
        <v>280</v>
      </c>
      <c r="H13" s="32" t="s">
        <v>11</v>
      </c>
      <c r="I13" s="36"/>
    </row>
    <row r="14" spans="1:9" x14ac:dyDescent="0.25">
      <c r="D14" s="30" t="s">
        <v>89</v>
      </c>
      <c r="E14" s="28">
        <v>4</v>
      </c>
      <c r="F14" s="29">
        <v>22.99</v>
      </c>
      <c r="G14" s="29">
        <f t="shared" si="0"/>
        <v>91.96</v>
      </c>
      <c r="H14" s="34" t="s">
        <v>11</v>
      </c>
      <c r="I14" s="36"/>
    </row>
    <row r="15" spans="1:9" x14ac:dyDescent="0.25">
      <c r="D15" s="5" t="s">
        <v>23</v>
      </c>
      <c r="E15" s="3">
        <v>1</v>
      </c>
      <c r="F15" s="4">
        <v>175</v>
      </c>
      <c r="G15" s="4">
        <f t="shared" si="0"/>
        <v>175</v>
      </c>
      <c r="H15" s="32" t="s">
        <v>11</v>
      </c>
      <c r="I15" s="36"/>
    </row>
    <row r="16" spans="1:9" x14ac:dyDescent="0.25">
      <c r="D16" s="5" t="s">
        <v>81</v>
      </c>
      <c r="E16" s="3">
        <v>1</v>
      </c>
      <c r="F16" s="4">
        <v>19.989999999999998</v>
      </c>
      <c r="G16" s="4">
        <f t="shared" si="0"/>
        <v>19.989999999999998</v>
      </c>
      <c r="H16" s="32" t="s">
        <v>11</v>
      </c>
      <c r="I16" s="36" t="s">
        <v>93</v>
      </c>
    </row>
    <row r="17" spans="4:9" x14ac:dyDescent="0.25">
      <c r="D17" s="2" t="s">
        <v>24</v>
      </c>
      <c r="E17" s="3">
        <v>5</v>
      </c>
      <c r="F17" s="4">
        <v>12.57</v>
      </c>
      <c r="G17" s="4">
        <f>E17*F17</f>
        <v>62.85</v>
      </c>
      <c r="H17" s="32" t="s">
        <v>11</v>
      </c>
      <c r="I17" s="36"/>
    </row>
    <row r="18" spans="4:9" x14ac:dyDescent="0.25">
      <c r="D18" s="6" t="s">
        <v>25</v>
      </c>
      <c r="E18" s="7"/>
      <c r="F18" s="8"/>
      <c r="G18" s="9">
        <f>SUM(G4:G17)</f>
        <v>1503.96</v>
      </c>
      <c r="H18" s="10"/>
    </row>
    <row r="19" spans="4:9" x14ac:dyDescent="0.25">
      <c r="D19" s="11"/>
      <c r="E19" s="12"/>
      <c r="F19" s="13"/>
      <c r="G19" s="14"/>
      <c r="H19" s="15"/>
    </row>
  </sheetData>
  <mergeCells count="1">
    <mergeCell ref="A1:C2"/>
  </mergeCells>
  <hyperlinks>
    <hyperlink ref="H4" r:id="rId1" xr:uid="{A71CA281-0A96-4F2C-B0A0-7DE2B177E4E4}"/>
    <hyperlink ref="H7" r:id="rId2" xr:uid="{631C3AA5-0B9B-483E-A976-54A6F694ADD0}"/>
    <hyperlink ref="H9" r:id="rId3" xr:uid="{4F621558-0637-4847-A464-18E614672C37}"/>
    <hyperlink ref="H5" r:id="rId4" xr:uid="{B24F3DCD-FE50-4DF6-8818-079BF2668E20}"/>
    <hyperlink ref="H12" r:id="rId5" xr:uid="{CB22CC0E-8246-402F-86D4-D20E93214A89}"/>
    <hyperlink ref="H14" r:id="rId6" xr:uid="{D9C68F91-91B6-4560-BBCF-1DE3C7BC7E96}"/>
    <hyperlink ref="H15" r:id="rId7" xr:uid="{061272B6-396D-427B-8C82-9FD009452DB6}"/>
    <hyperlink ref="H17" r:id="rId8" xr:uid="{0AA494B9-98BE-48F1-9193-92445E693832}"/>
    <hyperlink ref="H10" r:id="rId9" xr:uid="{67F3049E-B6AE-4D68-AD78-5847EBE4CAD7}"/>
    <hyperlink ref="H6" r:id="rId10" xr:uid="{F1689D1E-249E-4954-BC71-74AFA59A2C5D}"/>
    <hyperlink ref="H16" r:id="rId11" xr:uid="{44D9F2BA-6E50-4533-B62C-5863A713EC71}"/>
    <hyperlink ref="H11" r:id="rId12" xr:uid="{A7609FF4-F633-490F-9878-05FA71BE6A10}"/>
    <hyperlink ref="H8" r:id="rId13" xr:uid="{7FE20C2A-4E15-4934-B377-57B536835672}"/>
    <hyperlink ref="H13" r:id="rId14" xr:uid="{8814B896-A013-471D-B330-AE21026F240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35"/>
  <sheetViews>
    <sheetView zoomScale="130" zoomScaleNormal="130" workbookViewId="0">
      <selection activeCell="H6" sqref="H6"/>
    </sheetView>
  </sheetViews>
  <sheetFormatPr defaultRowHeight="15" x14ac:dyDescent="0.25"/>
  <cols>
    <col min="2" max="2" width="25.85546875" customWidth="1"/>
    <col min="4" max="4" width="12.7109375" customWidth="1"/>
    <col min="5" max="5" width="13" customWidth="1"/>
    <col min="6" max="6" width="18.42578125" customWidth="1"/>
    <col min="7" max="7" width="53.5703125" customWidth="1"/>
  </cols>
  <sheetData>
    <row r="2" spans="2:17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t="s">
        <v>80</v>
      </c>
      <c r="H2" s="24"/>
    </row>
    <row r="3" spans="2:17" x14ac:dyDescent="0.25">
      <c r="B3" s="2" t="s">
        <v>5</v>
      </c>
      <c r="C3" s="3">
        <v>1</v>
      </c>
      <c r="D3" s="4">
        <v>0</v>
      </c>
      <c r="E3" s="4">
        <v>0</v>
      </c>
      <c r="F3" s="3" t="s">
        <v>6</v>
      </c>
      <c r="G3" s="38"/>
    </row>
    <row r="4" spans="2:17" x14ac:dyDescent="0.25">
      <c r="B4" s="2" t="s">
        <v>7</v>
      </c>
      <c r="C4" s="3">
        <v>1</v>
      </c>
      <c r="D4" s="4">
        <v>0</v>
      </c>
      <c r="E4" s="4">
        <f>C4*D4</f>
        <v>0</v>
      </c>
      <c r="F4" s="3" t="s">
        <v>6</v>
      </c>
      <c r="G4" s="38"/>
    </row>
    <row r="5" spans="2:17" x14ac:dyDescent="0.25">
      <c r="B5" s="2" t="s">
        <v>8</v>
      </c>
      <c r="C5" s="3">
        <v>1</v>
      </c>
      <c r="D5" s="4">
        <v>0</v>
      </c>
      <c r="E5" s="4">
        <f>C5*D5</f>
        <v>0</v>
      </c>
      <c r="F5" s="3" t="s">
        <v>6</v>
      </c>
      <c r="G5" s="38"/>
    </row>
    <row r="6" spans="2:17" x14ac:dyDescent="0.25">
      <c r="B6" s="2" t="s">
        <v>9</v>
      </c>
      <c r="C6" s="3">
        <v>1</v>
      </c>
      <c r="D6" s="4">
        <v>0</v>
      </c>
      <c r="E6" s="4">
        <f>C6*D6</f>
        <v>0</v>
      </c>
      <c r="F6" s="3" t="s">
        <v>6</v>
      </c>
      <c r="G6" s="38"/>
    </row>
    <row r="7" spans="2:17" x14ac:dyDescent="0.25">
      <c r="B7" s="27" t="s">
        <v>10</v>
      </c>
      <c r="C7" s="42" t="s">
        <v>85</v>
      </c>
      <c r="D7" s="29">
        <v>0</v>
      </c>
      <c r="E7" s="29">
        <v>57.9</v>
      </c>
      <c r="F7" s="43" t="s">
        <v>11</v>
      </c>
      <c r="G7" s="43" t="s">
        <v>92</v>
      </c>
    </row>
    <row r="8" spans="2:17" x14ac:dyDescent="0.25">
      <c r="B8" s="2" t="s">
        <v>12</v>
      </c>
      <c r="C8" s="3"/>
      <c r="D8" s="4"/>
      <c r="E8" s="4">
        <f>C8*D8</f>
        <v>0</v>
      </c>
      <c r="F8" s="3"/>
    </row>
    <row r="9" spans="2:17" x14ac:dyDescent="0.25">
      <c r="B9" s="2" t="s">
        <v>13</v>
      </c>
      <c r="C9" s="3"/>
      <c r="D9" s="4">
        <v>0</v>
      </c>
      <c r="E9" s="4">
        <v>1.6</v>
      </c>
      <c r="F9" s="32" t="s">
        <v>11</v>
      </c>
      <c r="G9" s="38"/>
    </row>
    <row r="10" spans="2:17" x14ac:dyDescent="0.25">
      <c r="B10" s="2" t="s">
        <v>14</v>
      </c>
      <c r="C10" s="3">
        <v>3</v>
      </c>
      <c r="D10" s="4">
        <v>9.68</v>
      </c>
      <c r="E10" s="4">
        <f t="shared" ref="E10:E26" si="0">C10*D10</f>
        <v>29.04</v>
      </c>
      <c r="F10" s="32" t="s">
        <v>11</v>
      </c>
      <c r="G10" s="38"/>
    </row>
    <row r="11" spans="2:17" x14ac:dyDescent="0.25">
      <c r="B11" s="5" t="s">
        <v>15</v>
      </c>
      <c r="C11" s="3">
        <v>1</v>
      </c>
      <c r="D11" s="4">
        <v>280</v>
      </c>
      <c r="E11" s="4">
        <f t="shared" si="0"/>
        <v>280</v>
      </c>
      <c r="F11" s="32" t="s">
        <v>11</v>
      </c>
      <c r="G11" s="38"/>
      <c r="Q11">
        <v>0</v>
      </c>
    </row>
    <row r="12" spans="2:17" x14ac:dyDescent="0.25">
      <c r="B12" s="2" t="s">
        <v>16</v>
      </c>
      <c r="C12" s="3">
        <v>1</v>
      </c>
      <c r="D12" s="4">
        <v>189</v>
      </c>
      <c r="E12" s="4">
        <f t="shared" si="0"/>
        <v>189</v>
      </c>
      <c r="F12" s="32" t="s">
        <v>11</v>
      </c>
      <c r="G12" s="38"/>
    </row>
    <row r="13" spans="2:17" x14ac:dyDescent="0.25">
      <c r="B13" s="2" t="s">
        <v>17</v>
      </c>
      <c r="C13" s="23">
        <v>2</v>
      </c>
      <c r="D13" s="4">
        <v>79</v>
      </c>
      <c r="E13" s="4">
        <f t="shared" si="0"/>
        <v>158</v>
      </c>
      <c r="F13" s="33" t="s">
        <v>11</v>
      </c>
      <c r="G13" s="39" t="s">
        <v>88</v>
      </c>
    </row>
    <row r="14" spans="2:17" x14ac:dyDescent="0.25">
      <c r="B14" s="2" t="s">
        <v>18</v>
      </c>
      <c r="C14" s="3">
        <v>1</v>
      </c>
      <c r="D14" s="4">
        <v>49.99</v>
      </c>
      <c r="E14" s="4">
        <f t="shared" si="0"/>
        <v>49.99</v>
      </c>
      <c r="F14" s="32" t="s">
        <v>11</v>
      </c>
      <c r="G14" s="38"/>
    </row>
    <row r="15" spans="2:17" x14ac:dyDescent="0.25">
      <c r="B15" s="27" t="s">
        <v>19</v>
      </c>
      <c r="C15" s="28">
        <v>1</v>
      </c>
      <c r="D15" s="29">
        <v>33.99</v>
      </c>
      <c r="E15" s="29">
        <f t="shared" si="0"/>
        <v>33.99</v>
      </c>
      <c r="F15" s="34" t="s">
        <v>11</v>
      </c>
      <c r="G15" s="38"/>
    </row>
    <row r="16" spans="2:17" x14ac:dyDescent="0.25">
      <c r="B16" s="2" t="s">
        <v>20</v>
      </c>
      <c r="C16" s="3">
        <v>1</v>
      </c>
      <c r="D16" s="4">
        <v>43.99</v>
      </c>
      <c r="E16" s="4">
        <f t="shared" si="0"/>
        <v>43.99</v>
      </c>
      <c r="F16" s="32" t="s">
        <v>11</v>
      </c>
      <c r="G16" s="38"/>
    </row>
    <row r="17" spans="2:7" x14ac:dyDescent="0.25">
      <c r="B17" s="2" t="s">
        <v>86</v>
      </c>
      <c r="C17" s="3">
        <v>1</v>
      </c>
      <c r="D17" s="26">
        <v>429.99</v>
      </c>
      <c r="E17" s="4">
        <v>429.99</v>
      </c>
      <c r="F17" s="32" t="s">
        <v>11</v>
      </c>
      <c r="G17" s="40" t="s">
        <v>78</v>
      </c>
    </row>
    <row r="18" spans="2:7" x14ac:dyDescent="0.25">
      <c r="B18" s="27" t="s">
        <v>84</v>
      </c>
      <c r="C18" s="28">
        <v>1</v>
      </c>
      <c r="D18" s="25">
        <v>24.99</v>
      </c>
      <c r="E18" s="25">
        <v>24.99</v>
      </c>
      <c r="F18" s="34" t="s">
        <v>11</v>
      </c>
      <c r="G18" s="40"/>
    </row>
    <row r="19" spans="2:7" x14ac:dyDescent="0.25">
      <c r="B19" s="2" t="s">
        <v>21</v>
      </c>
      <c r="C19" s="3">
        <v>1</v>
      </c>
      <c r="D19" s="4">
        <v>65</v>
      </c>
      <c r="E19" s="4">
        <f t="shared" si="0"/>
        <v>65</v>
      </c>
      <c r="F19" s="32" t="s">
        <v>11</v>
      </c>
      <c r="G19" s="38"/>
    </row>
    <row r="20" spans="2:7" x14ac:dyDescent="0.25">
      <c r="B20" s="30" t="s">
        <v>22</v>
      </c>
      <c r="C20" s="28">
        <v>4</v>
      </c>
      <c r="D20" s="29">
        <v>22.99</v>
      </c>
      <c r="E20" s="29">
        <f t="shared" si="0"/>
        <v>91.96</v>
      </c>
      <c r="F20" s="34" t="s">
        <v>11</v>
      </c>
      <c r="G20" s="38"/>
    </row>
    <row r="21" spans="2:7" x14ac:dyDescent="0.25">
      <c r="B21" s="5" t="s">
        <v>23</v>
      </c>
      <c r="C21" s="3">
        <v>1</v>
      </c>
      <c r="D21" s="4">
        <v>175</v>
      </c>
      <c r="E21" s="4">
        <f t="shared" si="0"/>
        <v>175</v>
      </c>
      <c r="F21" s="32" t="s">
        <v>11</v>
      </c>
      <c r="G21" s="38"/>
    </row>
    <row r="22" spans="2:7" x14ac:dyDescent="0.25">
      <c r="B22" s="5" t="s">
        <v>81</v>
      </c>
      <c r="C22" s="3">
        <v>1</v>
      </c>
      <c r="D22" s="4">
        <v>19.989999999999998</v>
      </c>
      <c r="E22" s="4">
        <f t="shared" si="0"/>
        <v>19.989999999999998</v>
      </c>
      <c r="F22" s="32" t="s">
        <v>11</v>
      </c>
      <c r="G22" s="38"/>
    </row>
    <row r="23" spans="2:7" x14ac:dyDescent="0.25">
      <c r="B23" s="5" t="s">
        <v>82</v>
      </c>
      <c r="C23" s="3">
        <v>1</v>
      </c>
      <c r="D23" s="4">
        <v>209.99</v>
      </c>
      <c r="E23" s="4">
        <f t="shared" si="0"/>
        <v>209.99</v>
      </c>
      <c r="F23" s="32" t="s">
        <v>11</v>
      </c>
      <c r="G23" s="38"/>
    </row>
    <row r="24" spans="2:7" x14ac:dyDescent="0.25">
      <c r="B24" s="5" t="s">
        <v>83</v>
      </c>
      <c r="C24" s="3">
        <v>1</v>
      </c>
      <c r="D24" s="4">
        <v>64.989999999999995</v>
      </c>
      <c r="E24" s="4">
        <f t="shared" si="0"/>
        <v>64.989999999999995</v>
      </c>
      <c r="F24" s="32" t="s">
        <v>11</v>
      </c>
      <c r="G24" s="38"/>
    </row>
    <row r="25" spans="2:7" x14ac:dyDescent="0.25">
      <c r="B25" s="2" t="s">
        <v>24</v>
      </c>
      <c r="C25" s="3">
        <v>5</v>
      </c>
      <c r="D25" s="4">
        <v>12.57</v>
      </c>
      <c r="E25" s="4">
        <f t="shared" si="0"/>
        <v>62.85</v>
      </c>
      <c r="F25" s="32" t="s">
        <v>11</v>
      </c>
      <c r="G25" s="38"/>
    </row>
    <row r="26" spans="2:7" x14ac:dyDescent="0.25">
      <c r="B26" s="2" t="s">
        <v>87</v>
      </c>
      <c r="C26" s="3"/>
      <c r="D26" s="4">
        <v>0</v>
      </c>
      <c r="E26" s="4">
        <f t="shared" si="0"/>
        <v>0</v>
      </c>
      <c r="F26" s="3"/>
      <c r="G26" s="38"/>
    </row>
    <row r="27" spans="2:7" x14ac:dyDescent="0.25">
      <c r="B27" s="6" t="s">
        <v>25</v>
      </c>
      <c r="C27" s="7"/>
      <c r="D27" s="8"/>
      <c r="E27" s="9">
        <f>E3+E4+E5+E6+E7+E8+E9+E10+E11+E12+E13+E14+E15+E16+E17+E21+E19+E20+E25+E26+E22+E23+E24+E18</f>
        <v>1988.27</v>
      </c>
      <c r="F27" s="10"/>
    </row>
    <row r="28" spans="2:7" x14ac:dyDescent="0.25">
      <c r="B28" s="11"/>
      <c r="C28" s="12"/>
      <c r="D28" s="13"/>
      <c r="E28" s="14"/>
      <c r="F28" s="15"/>
    </row>
    <row r="35" spans="2:2" x14ac:dyDescent="0.25">
      <c r="B35" t="s">
        <v>79</v>
      </c>
    </row>
  </sheetData>
  <hyperlinks>
    <hyperlink ref="F9" r:id="rId1" xr:uid="{F9524003-EAAA-47EF-AE40-A7AD235217C9}"/>
    <hyperlink ref="F10" r:id="rId2" xr:uid="{B252901B-3178-4B76-9815-7139A1A079DC}"/>
    <hyperlink ref="F14" r:id="rId3" xr:uid="{D4965E58-DD08-43E9-A8EC-B130D5F940D0}"/>
    <hyperlink ref="F15" r:id="rId4" xr:uid="{129E9C48-2CFF-4D9A-9F4E-5A0633CBB70B}"/>
    <hyperlink ref="F16" r:id="rId5" xr:uid="{5D413168-BEAA-4333-AB09-19B4E719F6A2}"/>
    <hyperlink ref="F12" r:id="rId6" xr:uid="{BB3C8825-36BF-4BC1-84DE-CCBE51B2A053}"/>
    <hyperlink ref="F19" r:id="rId7" xr:uid="{55023AC4-49D2-44F2-8A20-A2A7700AF1E5}"/>
    <hyperlink ref="F20" r:id="rId8" xr:uid="{27534EA9-3DE6-41F0-BB8A-F65B8EF92DA3}"/>
    <hyperlink ref="F21" r:id="rId9" xr:uid="{D3E47236-FA8B-4628-9003-2EDFA1AFB38B}"/>
    <hyperlink ref="F25" r:id="rId10" xr:uid="{D842F22B-8DB0-465D-9BF9-8DA8407619BD}"/>
    <hyperlink ref="F17" r:id="rId11" xr:uid="{1E60939D-5DC1-4FFF-86F6-EF9844D91359}"/>
    <hyperlink ref="F11" r:id="rId12" xr:uid="{B1244471-3C2C-4D52-8F19-88D4FE676E04}"/>
    <hyperlink ref="F13" r:id="rId13" xr:uid="{FE97CBFB-C066-45F0-AB71-C7796DE82E5B}"/>
    <hyperlink ref="F22" r:id="rId14" xr:uid="{B555FEF5-A423-4DD1-8F46-56342DD22D7D}"/>
    <hyperlink ref="F23" r:id="rId15" xr:uid="{CF45FBC0-39FB-458F-88AE-CBD1559863F3}"/>
    <hyperlink ref="F24" r:id="rId16" xr:uid="{5FE34E3F-90FF-4453-8DA1-B110E2BC64DE}"/>
    <hyperlink ref="F18" r:id="rId17" xr:uid="{EB494C7E-246C-47BB-B4DE-6822347FC6E5}"/>
    <hyperlink ref="G7" r:id="rId18" display="Link" xr:uid="{0967E9A6-AA39-4ECE-8CCD-8D06ED4CF238}"/>
    <hyperlink ref="F7" r:id="rId19" xr:uid="{D47B23DF-137D-4A17-96D8-17B13B217E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8BCD-5B31-4AFB-8140-1A9E8488487E}">
  <dimension ref="A1:P45"/>
  <sheetViews>
    <sheetView zoomScale="80" zoomScaleNormal="190" workbookViewId="0">
      <selection activeCell="D58" sqref="D58"/>
    </sheetView>
  </sheetViews>
  <sheetFormatPr defaultRowHeight="15" x14ac:dyDescent="0.25"/>
  <cols>
    <col min="3" max="3" width="9.140625" customWidth="1"/>
  </cols>
  <sheetData>
    <row r="1" spans="1:12" x14ac:dyDescent="0.25">
      <c r="A1" t="s">
        <v>26</v>
      </c>
      <c r="B1" t="s">
        <v>27</v>
      </c>
      <c r="D1" t="s">
        <v>28</v>
      </c>
      <c r="G1" t="s">
        <v>29</v>
      </c>
      <c r="H1" t="s">
        <v>28</v>
      </c>
      <c r="I1" t="s">
        <v>30</v>
      </c>
      <c r="K1" t="s">
        <v>31</v>
      </c>
      <c r="L1" t="s">
        <v>27</v>
      </c>
    </row>
    <row r="2" spans="1:12" x14ac:dyDescent="0.25">
      <c r="A2">
        <v>1893987</v>
      </c>
      <c r="B2">
        <v>86.1</v>
      </c>
      <c r="C2" s="16">
        <v>1.5800000000000002E-2</v>
      </c>
      <c r="D2">
        <v>0.40899999999999997</v>
      </c>
      <c r="E2" s="16">
        <v>1.7100000000000001E-2</v>
      </c>
      <c r="G2">
        <v>0</v>
      </c>
      <c r="H2">
        <v>0.39500000000000002</v>
      </c>
      <c r="I2">
        <v>83.2</v>
      </c>
      <c r="K2" t="s">
        <v>32</v>
      </c>
    </row>
    <row r="3" spans="1:12" x14ac:dyDescent="0.25">
      <c r="A3">
        <v>3632193</v>
      </c>
      <c r="B3">
        <v>84.74</v>
      </c>
      <c r="C3" s="16">
        <v>1.5599999999999999E-2</v>
      </c>
      <c r="D3">
        <v>0.40200000000000002</v>
      </c>
      <c r="E3" s="16">
        <v>1.49E-2</v>
      </c>
      <c r="G3">
        <v>1</v>
      </c>
      <c r="K3">
        <v>30</v>
      </c>
      <c r="L3">
        <v>191.1</v>
      </c>
    </row>
    <row r="4" spans="1:12" x14ac:dyDescent="0.25">
      <c r="A4">
        <v>6292121</v>
      </c>
      <c r="B4">
        <v>83.42</v>
      </c>
      <c r="D4">
        <v>0.39600000000000002</v>
      </c>
      <c r="G4">
        <v>2</v>
      </c>
      <c r="K4">
        <v>25</v>
      </c>
      <c r="L4">
        <v>131.77000000000001</v>
      </c>
    </row>
    <row r="5" spans="1:12" x14ac:dyDescent="0.25">
      <c r="G5">
        <v>3</v>
      </c>
      <c r="H5">
        <v>0.39600000000000002</v>
      </c>
      <c r="I5">
        <v>83.3</v>
      </c>
    </row>
    <row r="6" spans="1:12" x14ac:dyDescent="0.25">
      <c r="G6">
        <v>4</v>
      </c>
      <c r="K6" t="s">
        <v>33</v>
      </c>
    </row>
    <row r="7" spans="1:12" x14ac:dyDescent="0.25">
      <c r="G7">
        <v>5</v>
      </c>
      <c r="H7">
        <v>0.40400000000000003</v>
      </c>
      <c r="I7">
        <v>85.1</v>
      </c>
      <c r="K7">
        <v>25</v>
      </c>
      <c r="L7">
        <v>131.82</v>
      </c>
    </row>
    <row r="9" spans="1:12" x14ac:dyDescent="0.25">
      <c r="A9" t="s">
        <v>34</v>
      </c>
      <c r="C9" t="s">
        <v>35</v>
      </c>
    </row>
    <row r="10" spans="1:12" x14ac:dyDescent="0.25">
      <c r="A10" t="s">
        <v>36</v>
      </c>
      <c r="B10" t="s">
        <v>37</v>
      </c>
      <c r="C10" t="s">
        <v>28</v>
      </c>
      <c r="D10" t="s">
        <v>38</v>
      </c>
      <c r="E10" t="s">
        <v>39</v>
      </c>
      <c r="F10" t="s">
        <v>27</v>
      </c>
      <c r="G10" t="s">
        <v>40</v>
      </c>
    </row>
    <row r="11" spans="1:12" x14ac:dyDescent="0.25">
      <c r="A11">
        <v>0</v>
      </c>
      <c r="B11">
        <v>20</v>
      </c>
      <c r="C11">
        <v>0.40239999999999998</v>
      </c>
      <c r="D11">
        <v>4.6899999999999997E-2</v>
      </c>
      <c r="E11">
        <v>-6.1899999999999997E-2</v>
      </c>
      <c r="F11">
        <v>84.790999999999997</v>
      </c>
      <c r="G11">
        <v>9.8819999999999997</v>
      </c>
    </row>
    <row r="12" spans="1:12" x14ac:dyDescent="0.25">
      <c r="A12">
        <v>2</v>
      </c>
      <c r="B12">
        <v>20</v>
      </c>
      <c r="C12">
        <v>0.40460000000000002</v>
      </c>
      <c r="D12">
        <v>4.6899999999999997E-2</v>
      </c>
      <c r="E12">
        <v>-6.2300000000000001E-2</v>
      </c>
      <c r="F12">
        <v>85.239000000000004</v>
      </c>
      <c r="G12">
        <v>9.8780000000000001</v>
      </c>
    </row>
    <row r="13" spans="1:12" x14ac:dyDescent="0.25">
      <c r="A13">
        <v>2</v>
      </c>
      <c r="B13">
        <v>25</v>
      </c>
      <c r="C13">
        <v>0.40039999999999998</v>
      </c>
      <c r="D13">
        <v>4.5600000000000002E-2</v>
      </c>
      <c r="E13">
        <v>-6.0900000000000003E-2</v>
      </c>
      <c r="F13">
        <v>131.82599999999999</v>
      </c>
      <c r="G13">
        <v>14.999000000000001</v>
      </c>
    </row>
    <row r="14" spans="1:12" x14ac:dyDescent="0.25">
      <c r="A14">
        <v>3</v>
      </c>
      <c r="B14">
        <v>20</v>
      </c>
      <c r="C14">
        <v>0.39560000000000001</v>
      </c>
      <c r="D14">
        <v>4.6300000000000001E-2</v>
      </c>
      <c r="E14">
        <v>-6.0299999999999999E-2</v>
      </c>
      <c r="F14">
        <v>83.346000000000004</v>
      </c>
      <c r="G14">
        <v>9.7579999999999991</v>
      </c>
    </row>
    <row r="15" spans="1:12" x14ac:dyDescent="0.25">
      <c r="A15">
        <v>3</v>
      </c>
      <c r="B15">
        <v>25</v>
      </c>
      <c r="C15">
        <v>0.40029999999999999</v>
      </c>
      <c r="D15">
        <v>4.5600000000000002E-2</v>
      </c>
      <c r="E15">
        <v>-6.0999999999999999E-2</v>
      </c>
      <c r="F15">
        <v>131.77600000000001</v>
      </c>
      <c r="G15">
        <v>15.022</v>
      </c>
    </row>
    <row r="16" spans="1:12" x14ac:dyDescent="0.25">
      <c r="A16" s="17">
        <v>3</v>
      </c>
      <c r="B16" s="17">
        <v>30</v>
      </c>
      <c r="C16" s="17">
        <v>0.40300000000000002</v>
      </c>
      <c r="D16" s="17">
        <v>4.5100000000000001E-2</v>
      </c>
      <c r="E16" s="17">
        <v>-6.1400000000000003E-2</v>
      </c>
      <c r="F16" s="17">
        <v>191.072</v>
      </c>
      <c r="G16" s="17">
        <v>21.39</v>
      </c>
      <c r="I16" t="s">
        <v>41</v>
      </c>
    </row>
    <row r="17" spans="1:16" x14ac:dyDescent="0.25">
      <c r="A17">
        <v>5</v>
      </c>
      <c r="B17">
        <v>20</v>
      </c>
      <c r="C17">
        <v>0.40389999999999998</v>
      </c>
      <c r="D17">
        <v>4.7E-2</v>
      </c>
      <c r="E17">
        <v>-6.2300000000000001E-2</v>
      </c>
      <c r="F17">
        <v>85.094999999999999</v>
      </c>
      <c r="G17">
        <v>9.8930000000000007</v>
      </c>
    </row>
    <row r="19" spans="1:16" x14ac:dyDescent="0.25">
      <c r="A19" s="44" t="s">
        <v>48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</row>
    <row r="20" spans="1:16" x14ac:dyDescent="0.25">
      <c r="C20" t="s">
        <v>42</v>
      </c>
    </row>
    <row r="21" spans="1:16" x14ac:dyDescent="0.25">
      <c r="E21" t="s">
        <v>43</v>
      </c>
    </row>
    <row r="22" spans="1:16" x14ac:dyDescent="0.25">
      <c r="E22" s="18" t="s">
        <v>44</v>
      </c>
      <c r="F22" t="s">
        <v>47</v>
      </c>
    </row>
    <row r="23" spans="1:16" x14ac:dyDescent="0.25">
      <c r="E23">
        <f>20/3</f>
        <v>6.666666666666667</v>
      </c>
      <c r="F23" t="s">
        <v>45</v>
      </c>
      <c r="G23" t="s">
        <v>46</v>
      </c>
    </row>
    <row r="25" spans="1:16" x14ac:dyDescent="0.25">
      <c r="B25" t="s">
        <v>49</v>
      </c>
      <c r="G25" t="s">
        <v>57</v>
      </c>
      <c r="J25" s="20"/>
      <c r="L25" s="21" t="s">
        <v>62</v>
      </c>
    </row>
    <row r="26" spans="1:16" x14ac:dyDescent="0.25">
      <c r="B26" t="s">
        <v>50</v>
      </c>
      <c r="G26" t="s">
        <v>59</v>
      </c>
      <c r="L26" t="s">
        <v>64</v>
      </c>
      <c r="P26" t="s">
        <v>69</v>
      </c>
    </row>
    <row r="27" spans="1:16" x14ac:dyDescent="0.25">
      <c r="B27" t="s">
        <v>51</v>
      </c>
      <c r="C27" s="19">
        <v>0.5</v>
      </c>
      <c r="D27" t="s">
        <v>52</v>
      </c>
      <c r="G27" t="s">
        <v>51</v>
      </c>
      <c r="H27" s="19">
        <v>0.5</v>
      </c>
      <c r="I27">
        <v>11.74</v>
      </c>
      <c r="L27" t="s">
        <v>51</v>
      </c>
      <c r="M27" s="19">
        <v>0.45</v>
      </c>
      <c r="N27" t="s">
        <v>67</v>
      </c>
    </row>
    <row r="28" spans="1:16" x14ac:dyDescent="0.25">
      <c r="A28" s="44" t="s">
        <v>54</v>
      </c>
      <c r="B28" s="44"/>
      <c r="C28">
        <f>10.7/20</f>
        <v>0.53499999999999992</v>
      </c>
      <c r="F28" s="44" t="s">
        <v>54</v>
      </c>
      <c r="G28" s="44"/>
      <c r="H28">
        <f>11.675/20</f>
        <v>0.58374999999999999</v>
      </c>
      <c r="K28" s="44" t="s">
        <v>54</v>
      </c>
      <c r="L28" s="44"/>
      <c r="M28">
        <f>13.3/20</f>
        <v>0.66500000000000004</v>
      </c>
    </row>
    <row r="29" spans="1:16" x14ac:dyDescent="0.25">
      <c r="B29" t="s">
        <v>56</v>
      </c>
      <c r="G29" t="s">
        <v>58</v>
      </c>
      <c r="L29" s="21" t="s">
        <v>63</v>
      </c>
    </row>
    <row r="30" spans="1:16" x14ac:dyDescent="0.25">
      <c r="B30" t="s">
        <v>53</v>
      </c>
      <c r="G30" t="s">
        <v>60</v>
      </c>
      <c r="L30" t="s">
        <v>65</v>
      </c>
    </row>
    <row r="31" spans="1:16" x14ac:dyDescent="0.25">
      <c r="B31" t="s">
        <v>51</v>
      </c>
      <c r="C31" s="19">
        <v>0.45</v>
      </c>
      <c r="D31" t="s">
        <v>55</v>
      </c>
      <c r="G31" t="s">
        <v>51</v>
      </c>
      <c r="H31" s="19">
        <v>0.45</v>
      </c>
      <c r="I31" t="s">
        <v>61</v>
      </c>
      <c r="L31" t="s">
        <v>51</v>
      </c>
      <c r="M31" s="19">
        <v>0.4</v>
      </c>
      <c r="N31" t="s">
        <v>66</v>
      </c>
    </row>
    <row r="32" spans="1:16" x14ac:dyDescent="0.25">
      <c r="A32" s="44" t="s">
        <v>54</v>
      </c>
      <c r="B32" s="44"/>
      <c r="C32">
        <f>12.4/20</f>
        <v>0.62</v>
      </c>
      <c r="F32" s="44" t="s">
        <v>54</v>
      </c>
      <c r="G32" s="44"/>
      <c r="H32">
        <f>13.176/20</f>
        <v>0.65880000000000005</v>
      </c>
      <c r="K32" s="44" t="s">
        <v>54</v>
      </c>
      <c r="L32" s="44"/>
      <c r="M32">
        <f>14.8/20</f>
        <v>0.74</v>
      </c>
    </row>
    <row r="35" spans="1:4" x14ac:dyDescent="0.25">
      <c r="A35" t="s">
        <v>68</v>
      </c>
    </row>
    <row r="36" spans="1:4" x14ac:dyDescent="0.25">
      <c r="A36" t="s">
        <v>70</v>
      </c>
    </row>
    <row r="37" spans="1:4" x14ac:dyDescent="0.25">
      <c r="A37" t="s">
        <v>71</v>
      </c>
    </row>
    <row r="39" spans="1:4" x14ac:dyDescent="0.25">
      <c r="A39" t="s">
        <v>72</v>
      </c>
      <c r="C39" t="s">
        <v>74</v>
      </c>
    </row>
    <row r="40" spans="1:4" x14ac:dyDescent="0.25">
      <c r="A40">
        <f>8 *1.2</f>
        <v>9.6</v>
      </c>
      <c r="B40" t="s">
        <v>73</v>
      </c>
    </row>
    <row r="42" spans="1:4" x14ac:dyDescent="0.25">
      <c r="A42" s="22" t="s">
        <v>75</v>
      </c>
      <c r="B42" s="22"/>
      <c r="C42" s="22" t="s">
        <v>74</v>
      </c>
    </row>
    <row r="43" spans="1:4" x14ac:dyDescent="0.25">
      <c r="A43" s="22">
        <f>8.6*1.2</f>
        <v>10.319999999999999</v>
      </c>
      <c r="B43" s="22" t="s">
        <v>73</v>
      </c>
      <c r="C43" s="22" t="s">
        <v>76</v>
      </c>
    </row>
    <row r="45" spans="1:4" x14ac:dyDescent="0.25">
      <c r="D45" t="s">
        <v>77</v>
      </c>
    </row>
  </sheetData>
  <mergeCells count="7">
    <mergeCell ref="A19:L19"/>
    <mergeCell ref="A28:B28"/>
    <mergeCell ref="A32:B32"/>
    <mergeCell ref="F28:G28"/>
    <mergeCell ref="F32:G32"/>
    <mergeCell ref="K28:L28"/>
    <mergeCell ref="K32:L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Needed</vt:lpstr>
      <vt:lpstr>Detailed</vt:lpstr>
      <vt:lpstr>Battery Calcs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Burnett, Matthew</cp:lastModifiedBy>
  <cp:revision/>
  <dcterms:created xsi:type="dcterms:W3CDTF">2026-02-05T19:59:19Z</dcterms:created>
  <dcterms:modified xsi:type="dcterms:W3CDTF">2026-02-23T05:09:56Z</dcterms:modified>
  <cp:category/>
  <cp:contentStatus/>
</cp:coreProperties>
</file>
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mailsc-my.sharepoint.com/personal/matthew_burnett_sc_edu/Documents/UAV/SWIFT-UAV/System_development/Pelican/structural_model/v0.3.0/BOM/"/>
    </mc:Choice>
  </mc:AlternateContent>
  <xr:revisionPtr revIDLastSave="44" documentId="13_ncr:1_{00CFB75F-51B9-43AE-8AA6-13C529ACA0A6}" xr6:coauthVersionLast="47" xr6:coauthVersionMax="47" xr10:uidLastSave="{CC05D826-2FFB-49A3-81D4-CAAE13D460F2}"/>
  <bookViews>
    <workbookView xWindow="-120" yWindow="-120" windowWidth="38640" windowHeight="21120" xr2:uid="{00000000-000D-0000-FFFF-FFFF00000000}"/>
  </bookViews>
  <sheets>
    <sheet name="Needed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3" l="1"/>
  <c r="G4" i="3"/>
  <c r="G16" i="3"/>
  <c r="G15" i="3"/>
  <c r="G14" i="3"/>
  <c r="G13" i="3"/>
  <c r="G11" i="3"/>
  <c r="G8" i="3"/>
  <c r="G7" i="3"/>
  <c r="G6" i="3"/>
  <c r="G5" i="3"/>
  <c r="G17" i="3" l="1"/>
</calcChain>
</file>

<file path=xl/sharedStrings.xml><?xml version="1.0" encoding="utf-8"?>
<sst xmlns="http://schemas.openxmlformats.org/spreadsheetml/2006/main" count="40" uniqueCount="28">
  <si>
    <t>Name</t>
  </si>
  <si>
    <t>Quanitity</t>
  </si>
  <si>
    <t>Price</t>
  </si>
  <si>
    <t>Total Price</t>
  </si>
  <si>
    <t>Source</t>
  </si>
  <si>
    <t>Link</t>
  </si>
  <si>
    <t>T-Slot Nut</t>
  </si>
  <si>
    <t>PixHawk 6x Flight Controller</t>
  </si>
  <si>
    <t>Motor</t>
  </si>
  <si>
    <t>Propeller</t>
  </si>
  <si>
    <t>Pitot</t>
  </si>
  <si>
    <t>GPS</t>
  </si>
  <si>
    <t>ESC</t>
  </si>
  <si>
    <t>Telemetry Radio</t>
  </si>
  <si>
    <t>Wire Extensions</t>
  </si>
  <si>
    <t>Total</t>
  </si>
  <si>
    <t>Description + Specificers + Manufactuerer Name</t>
  </si>
  <si>
    <t>Remote ID Module</t>
  </si>
  <si>
    <t xml:space="preserve">Voltage Step Down </t>
  </si>
  <si>
    <t>LiPo 6s Battery (two pack)</t>
  </si>
  <si>
    <t xml:space="preserve">Spare Required </t>
  </si>
  <si>
    <t>Running Low</t>
  </si>
  <si>
    <t>Currently on sale for 306</t>
  </si>
  <si>
    <t>FAA Required | w/o case</t>
  </si>
  <si>
    <t xml:space="preserve"> For servos</t>
  </si>
  <si>
    <t>Needed BOM omits parts the Iron bird will never need or parts that can readily be used for both, (video transmision for example)</t>
  </si>
  <si>
    <t>DRONE CAN</t>
  </si>
  <si>
    <t>KST DS215MG Servo (4pack)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</si>
</sst>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164" fontId="0" fillId="0" borderId="3" xfId="0" applyNumberFormat="1" applyBorder="1"/>
    <xf numFmtId="0" fontId="2" fillId="0" borderId="2" xfId="0" applyFont="1" applyBorder="1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4" fontId="0" fillId="0" borderId="0" xfId="0" applyNumberFormat="1" applyAlignment="1">
      <alignment vertical="center"/>
    </xf>
    <xf numFmtId="164" fontId="0" fillId="0" borderId="8" xfId="0" applyNumberFormat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0" fillId="0" borderId="3" xfId="0" applyNumberFormat="1" applyBorder="1" applyAlignment="1">
      <alignment vertical="center"/>
    </xf>
    <xf numFmtId="164" fontId="0" fillId="0" borderId="4" xfId="0" applyNumberFormat="1" applyBorder="1" applyAlignment="1">
      <alignment vertical="center"/>
    </xf>
    <xf numFmtId="164" fontId="4" fillId="3" borderId="3" xfId="0" applyNumberFormat="1" applyFont="1" applyFill="1" applyBorder="1"/>
    <xf numFmtId="0" fontId="0" fillId="3" borderId="2" xfId="0" applyFill="1" applyBorder="1"/>
    <xf numFmtId="0" fontId="0" fillId="3" borderId="3" xfId="0" applyFill="1" applyBorder="1"/>
    <xf numFmtId="164" fontId="0" fillId="3" borderId="3" xfId="0" applyNumberFormat="1" applyFill="1" applyBorder="1"/>
    <xf numFmtId="0" fontId="2" fillId="3" borderId="2" xfId="0" applyFont="1" applyFill="1" applyBorder="1"/>
    <xf numFmtId="0" fontId="0" fillId="0" borderId="10" xfId="0" applyBorder="1" applyAlignment="1">
      <alignment horizontal="center"/>
    </xf>
    <xf numFmtId="0" fontId="1" fillId="0" borderId="3" xfId="1" applyBorder="1"/>
    <xf numFmtId="0" fontId="1" fillId="0" borderId="3" xfId="1" applyFill="1" applyBorder="1"/>
    <xf numFmtId="0" fontId="1" fillId="3" borderId="3" xfId="1" applyFill="1" applyBorder="1"/>
    <xf numFmtId="0" fontId="0" fillId="0" borderId="9" xfId="0" applyBorder="1" applyAlignment="1">
      <alignment horizontal="center"/>
    </xf>
    <xf numFmtId="0" fontId="0" fillId="0" borderId="9" xfId="0" applyBorder="1" applyAlignment="1">
      <alignment horizontal="right"/>
    </xf>
    <xf numFmtId="0" fontId="4" fillId="0" borderId="9" xfId="0" applyFont="1" applyBorder="1" applyAlignment="1">
      <alignment horizontal="right"/>
    </xf>
    <xf numFmtId="0" fontId="4" fillId="0" borderId="3" xfId="0" applyFont="1" applyBorder="1"/>
    <xf numFmtId="164" fontId="5" fillId="2" borderId="3" xfId="0" applyNumberFormat="1" applyFont="1" applyFill="1" applyBorder="1"/>
    <xf numFmtId="164" fontId="3" fillId="2" borderId="3" xfId="0" applyNumberFormat="1" applyFont="1" applyFill="1" applyBorder="1"/>
    <xf numFmtId="0" fontId="1" fillId="2" borderId="3" xfId="1" applyFill="1" applyBorder="1"/>
    <xf numFmtId="0" fontId="5" fillId="2" borderId="9" xfId="0" applyFont="1" applyFill="1" applyBorder="1" applyAlignment="1">
      <alignment horizontal="right"/>
    </xf>
    <xf numFmtId="0" fontId="0" fillId="2" borderId="2" xfId="0" applyFill="1" applyBorder="1"/>
    <xf numFmtId="0" fontId="0" fillId="2" borderId="3" xfId="0" applyFill="1" applyBorder="1"/>
    <xf numFmtId="0" fontId="0" fillId="0" borderId="0" xfId="0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inyurl.com/3ffam8a5" TargetMode="External"/><Relationship Id="rId13" Type="http://schemas.openxmlformats.org/officeDocument/2006/relationships/hyperlink" Target="https://holybro.com/products/pixhawk-6x?variant=44390763430077" TargetMode="External"/><Relationship Id="rId3" Type="http://schemas.openxmlformats.org/officeDocument/2006/relationships/hyperlink" Target="https://tinyurl.com/4ffmuvcu" TargetMode="External"/><Relationship Id="rId7" Type="http://schemas.openxmlformats.org/officeDocument/2006/relationships/hyperlink" Target="https://tinyurl.com/mvby7523" TargetMode="External"/><Relationship Id="rId12" Type="http://schemas.openxmlformats.org/officeDocument/2006/relationships/hyperlink" Target="https://www.getfpv.com/mateksys-12s-pro-bec-9-55v-to-5v-8v-12v-5a.html?srsltid=AfmBOoodUIdCnkukmW-JSWukazHrJtl7F5amj1dFrbuTs6mccJOsmyfB" TargetMode="External"/><Relationship Id="rId2" Type="http://schemas.openxmlformats.org/officeDocument/2006/relationships/hyperlink" Target="https://tinyurl.com/4dfjr2ct" TargetMode="External"/><Relationship Id="rId1" Type="http://schemas.openxmlformats.org/officeDocument/2006/relationships/hyperlink" Target="https://www.aliexpress.us/item/3256808146819631.html?src=google&amp;pdp_npi=4%40dis%21USD%211.03%210.97%21%21%21%21%21%40%2112000044630052098%21ppc%21%21%21&amp;gatewayAdapt=glo2usa" TargetMode="External"/><Relationship Id="rId6" Type="http://schemas.openxmlformats.org/officeDocument/2006/relationships/hyperlink" Target="https://www.aliexpress.us/item/3256801472318919.html?src=google&amp;pdp_npi=4%40dis%21USD%2157.00%2129.07%21%21%21%21%21%40%2112000017017773685%21ppc%21%21%21&amp;src=google&amp;albch=shopping&amp;acnt=708-803-3821&amp;isdl=y&amp;slnk=&amp;plac=&amp;mtctp=&amp;albbt=Google_7_shopping&amp;aff_platform=google&amp;aff_short_key=UneMJZVf&amp;gclsrc=aw.ds&amp;albagn=888888&amp;ds_e_adid=&amp;ds_e_matchtype=&amp;ds_e_device=c&amp;ds_e_network=x&amp;ds_e_product_group_id=&amp;ds_e_product_id=en3256801472318919&amp;ds_e_product_merchant_id=107914182&amp;ds_e_product_country=US&amp;ds_e_product_language=en&amp;ds_e_product_channel=online&amp;ds_e_product_store_id=&amp;ds_url_v=2&amp;albcp=19108282527&amp;albag=&amp;isSmbAutoCall=false&amp;needSmbHouyi=false&amp;gad_source=1&amp;gad_campaignid=19108284222&amp;gclid=CjwKCAiAh5XNBhAAEiwA_Bu8FWWRlBbR9IPE-5jRpzLH3R5H6OSxbTupjXfFD1urG51FpJsp9ZbV_hoC9oMQAvD_BwE&amp;gatewayAdapt=glo2usa" TargetMode="External"/><Relationship Id="rId11" Type="http://schemas.openxmlformats.org/officeDocument/2006/relationships/hyperlink" Target="https://holybro.com/products/remote-id?variant=43034167312573" TargetMode="External"/><Relationship Id="rId5" Type="http://schemas.openxmlformats.org/officeDocument/2006/relationships/hyperlink" Target="https://tinyurl.com/y4ey9ss9" TargetMode="External"/><Relationship Id="rId10" Type="http://schemas.openxmlformats.org/officeDocument/2006/relationships/hyperlink" Target="https://mad-motor.com/products/21-inch-carbon-fiber-propeller-1pc?VariantsId=10269" TargetMode="External"/><Relationship Id="rId4" Type="http://schemas.openxmlformats.org/officeDocument/2006/relationships/hyperlink" Target="https://tinyurl.com/mvcsa2zp" TargetMode="External"/><Relationship Id="rId9" Type="http://schemas.openxmlformats.org/officeDocument/2006/relationships/hyperlink" Target="https://zeeebattery.com/collections/zeee-6s-lipo-battery/products/zeee-6s-lipo-battery-10000mah-22-2v-120c-ec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3E270-438B-4BA7-BB0E-5AFFB906487D}">
  <dimension ref="A1:I18"/>
  <sheetViews>
    <sheetView tabSelected="1" zoomScale="115" zoomScaleNormal="115" workbookViewId="0">
      <selection activeCell="G21" sqref="G21"/>
    </sheetView>
  </sheetViews>
  <sheetFormatPr defaultRowHeight="15" x14ac:dyDescent="0.25"/>
  <cols>
    <col min="3" max="3" width="20.28515625" customWidth="1"/>
    <col min="4" max="4" width="25.28515625" customWidth="1"/>
    <col min="6" max="6" width="17.5703125" customWidth="1"/>
    <col min="7" max="7" width="20.42578125" customWidth="1"/>
    <col min="8" max="8" width="17.7109375" customWidth="1"/>
    <col min="9" max="9" width="46.28515625" customWidth="1"/>
  </cols>
  <sheetData>
    <row r="1" spans="1:9" x14ac:dyDescent="0.25">
      <c r="A1" s="35" t="s">
        <v>25</v>
      </c>
      <c r="B1" s="35"/>
      <c r="C1" s="35"/>
    </row>
    <row r="2" spans="1:9" ht="42" customHeight="1" x14ac:dyDescent="0.25">
      <c r="A2" s="35"/>
      <c r="B2" s="35"/>
      <c r="C2" s="35"/>
    </row>
    <row r="3" spans="1:9" x14ac:dyDescent="0.25">
      <c r="D3" s="1" t="s">
        <v>0</v>
      </c>
      <c r="E3" s="1" t="s">
        <v>1</v>
      </c>
      <c r="F3" s="1" t="s">
        <v>2</v>
      </c>
      <c r="G3" s="1" t="s">
        <v>3</v>
      </c>
      <c r="H3" s="21" t="s">
        <v>4</v>
      </c>
      <c r="I3" s="25" t="s">
        <v>16</v>
      </c>
    </row>
    <row r="4" spans="1:9" x14ac:dyDescent="0.25">
      <c r="D4" s="2" t="s">
        <v>6</v>
      </c>
      <c r="E4" s="3">
        <v>4</v>
      </c>
      <c r="F4" s="4">
        <v>1.6</v>
      </c>
      <c r="G4" s="4">
        <f>E4*F4</f>
        <v>6.4</v>
      </c>
      <c r="H4" s="22" t="s">
        <v>5</v>
      </c>
      <c r="I4" s="26" t="s">
        <v>21</v>
      </c>
    </row>
    <row r="5" spans="1:9" x14ac:dyDescent="0.25">
      <c r="D5" s="2" t="s">
        <v>8</v>
      </c>
      <c r="E5" s="3">
        <v>1</v>
      </c>
      <c r="F5" s="4">
        <v>189</v>
      </c>
      <c r="G5" s="4">
        <f t="shared" ref="G5:G15" si="0">E5*F5</f>
        <v>189</v>
      </c>
      <c r="H5" s="22" t="s">
        <v>5</v>
      </c>
      <c r="I5" s="26"/>
    </row>
    <row r="6" spans="1:9" x14ac:dyDescent="0.25">
      <c r="D6" s="2" t="s">
        <v>9</v>
      </c>
      <c r="E6" s="28">
        <v>2</v>
      </c>
      <c r="F6" s="4">
        <v>79</v>
      </c>
      <c r="G6" s="4">
        <f t="shared" si="0"/>
        <v>158</v>
      </c>
      <c r="H6" s="23" t="s">
        <v>5</v>
      </c>
      <c r="I6" s="27" t="s">
        <v>20</v>
      </c>
    </row>
    <row r="7" spans="1:9" x14ac:dyDescent="0.25">
      <c r="D7" s="2" t="s">
        <v>10</v>
      </c>
      <c r="E7" s="3">
        <v>1</v>
      </c>
      <c r="F7" s="4">
        <v>49.99</v>
      </c>
      <c r="G7" s="4">
        <f t="shared" si="0"/>
        <v>49.99</v>
      </c>
      <c r="H7" s="22" t="s">
        <v>5</v>
      </c>
      <c r="I7" s="26"/>
    </row>
    <row r="8" spans="1:9" x14ac:dyDescent="0.25">
      <c r="D8" s="2" t="s">
        <v>11</v>
      </c>
      <c r="E8" s="3">
        <v>1</v>
      </c>
      <c r="F8" s="4">
        <v>43.99</v>
      </c>
      <c r="G8" s="4">
        <f t="shared" si="0"/>
        <v>43.99</v>
      </c>
      <c r="H8" s="22" t="s">
        <v>5</v>
      </c>
      <c r="I8" s="26"/>
    </row>
    <row r="9" spans="1:9" x14ac:dyDescent="0.25">
      <c r="D9" s="33" t="s">
        <v>19</v>
      </c>
      <c r="E9" s="34">
        <v>1</v>
      </c>
      <c r="F9" s="29">
        <v>429.99</v>
      </c>
      <c r="G9" s="30">
        <v>306</v>
      </c>
      <c r="H9" s="31" t="s">
        <v>5</v>
      </c>
      <c r="I9" s="32" t="s">
        <v>22</v>
      </c>
    </row>
    <row r="10" spans="1:9" x14ac:dyDescent="0.25">
      <c r="D10" s="17" t="s">
        <v>18</v>
      </c>
      <c r="E10" s="18">
        <v>1</v>
      </c>
      <c r="F10" s="16">
        <v>24.99</v>
      </c>
      <c r="G10" s="16">
        <v>24.99</v>
      </c>
      <c r="H10" s="24" t="s">
        <v>5</v>
      </c>
      <c r="I10" s="27" t="s">
        <v>24</v>
      </c>
    </row>
    <row r="11" spans="1:9" x14ac:dyDescent="0.25">
      <c r="D11" s="2" t="s">
        <v>12</v>
      </c>
      <c r="E11" s="3">
        <v>1</v>
      </c>
      <c r="F11" s="4">
        <v>65</v>
      </c>
      <c r="G11" s="4">
        <f t="shared" si="0"/>
        <v>65</v>
      </c>
      <c r="H11" s="22" t="s">
        <v>5</v>
      </c>
      <c r="I11" s="26" t="s">
        <v>26</v>
      </c>
    </row>
    <row r="12" spans="1:9" x14ac:dyDescent="0.25">
      <c r="D12" s="5" t="s">
        <v>7</v>
      </c>
      <c r="E12" s="3">
        <v>1</v>
      </c>
      <c r="F12" s="4">
        <v>280</v>
      </c>
      <c r="G12" s="4">
        <f t="shared" ref="G12" si="1">E12*F12</f>
        <v>280</v>
      </c>
      <c r="H12" s="22" t="s">
        <v>5</v>
      </c>
      <c r="I12" s="26"/>
    </row>
    <row r="13" spans="1:9" x14ac:dyDescent="0.25">
      <c r="D13" s="20" t="s">
        <v>27</v>
      </c>
      <c r="E13" s="18">
        <v>1</v>
      </c>
      <c r="F13" s="19">
        <v>156.02000000000001</v>
      </c>
      <c r="G13" s="19">
        <f t="shared" si="0"/>
        <v>156.02000000000001</v>
      </c>
      <c r="H13" s="24" t="s">
        <v>5</v>
      </c>
      <c r="I13" s="26"/>
    </row>
    <row r="14" spans="1:9" x14ac:dyDescent="0.25">
      <c r="D14" s="5" t="s">
        <v>13</v>
      </c>
      <c r="E14" s="3">
        <v>1</v>
      </c>
      <c r="F14" s="4">
        <v>175</v>
      </c>
      <c r="G14" s="4">
        <f t="shared" si="0"/>
        <v>175</v>
      </c>
      <c r="H14" s="22" t="s">
        <v>5</v>
      </c>
      <c r="I14" s="26"/>
    </row>
    <row r="15" spans="1:9" x14ac:dyDescent="0.25">
      <c r="D15" s="5" t="s">
        <v>17</v>
      </c>
      <c r="E15" s="3">
        <v>1</v>
      </c>
      <c r="F15" s="4">
        <v>19.989999999999998</v>
      </c>
      <c r="G15" s="4">
        <f t="shared" si="0"/>
        <v>19.989999999999998</v>
      </c>
      <c r="H15" s="22" t="s">
        <v>5</v>
      </c>
      <c r="I15" s="26" t="s">
        <v>23</v>
      </c>
    </row>
    <row r="16" spans="1:9" x14ac:dyDescent="0.25">
      <c r="D16" s="2" t="s">
        <v>14</v>
      </c>
      <c r="E16" s="3">
        <v>5</v>
      </c>
      <c r="F16" s="4">
        <v>12.57</v>
      </c>
      <c r="G16" s="4">
        <f>E16*F16</f>
        <v>62.85</v>
      </c>
      <c r="H16" s="22" t="s">
        <v>5</v>
      </c>
      <c r="I16" s="26"/>
    </row>
    <row r="17" spans="4:8" x14ac:dyDescent="0.25">
      <c r="D17" s="6" t="s">
        <v>15</v>
      </c>
      <c r="E17" s="7"/>
      <c r="F17" s="8"/>
      <c r="G17" s="9">
        <f>SUM(G4:G16)</f>
        <v>1537.2299999999998</v>
      </c>
      <c r="H17" s="10"/>
    </row>
    <row r="18" spans="4:8" x14ac:dyDescent="0.25">
      <c r="D18" s="11"/>
      <c r="E18" s="12"/>
      <c r="F18" s="13"/>
      <c r="G18" s="14"/>
      <c r="H18" s="15"/>
    </row>
  </sheetData>
  <mergeCells count="1">
    <mergeCell ref="A1:C2"/>
  </mergeCells>
  <hyperlinks>
    <hyperlink ref="H4" r:id="rId1" xr:uid="{A71CA281-0A96-4F2C-B0A0-7DE2B177E4E4}"/>
    <hyperlink ref="H7" r:id="rId2" xr:uid="{631C3AA5-0B9B-483E-A976-54A6F694ADD0}"/>
    <hyperlink ref="H8" r:id="rId3" xr:uid="{4F621558-0637-4847-A464-18E614672C37}"/>
    <hyperlink ref="H5" r:id="rId4" xr:uid="{B24F3DCD-FE50-4DF6-8818-079BF2668E20}"/>
    <hyperlink ref="H11" r:id="rId5" xr:uid="{CB22CC0E-8246-402F-86D4-D20E93214A89}"/>
    <hyperlink ref="H13" r:id="rId6" xr:uid="{D9C68F91-91B6-4560-BBCF-1DE3C7BC7E96}"/>
    <hyperlink ref="H14" r:id="rId7" xr:uid="{061272B6-396D-427B-8C82-9FD009452DB6}"/>
    <hyperlink ref="H16" r:id="rId8" xr:uid="{0AA494B9-98BE-48F1-9193-92445E693832}"/>
    <hyperlink ref="H9" r:id="rId9" xr:uid="{67F3049E-B6AE-4D68-AD78-5847EBE4CAD7}"/>
    <hyperlink ref="H6" r:id="rId10" xr:uid="{F1689D1E-249E-4954-BC71-74AFA59A2C5D}"/>
    <hyperlink ref="H15" r:id="rId11" xr:uid="{44D9F2BA-6E50-4533-B62C-5863A713EC71}"/>
    <hyperlink ref="H10" r:id="rId12" xr:uid="{A7609FF4-F633-490F-9878-05FA71BE6A10}"/>
    <hyperlink ref="H12" r:id="rId13" xr:uid="{8814B896-A013-471D-B330-AE21026F240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Needed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Burnett, Matthew</cp:lastModifiedBy>
  <cp:revision/>
  <dcterms:created xsi:type="dcterms:W3CDTF">2026-02-05T19:59:19Z</dcterms:created>
  <dcterms:modified xsi:type="dcterms:W3CDTF">2026-03-03T04:58:40Z</dcterms:modified>
  <cp:category/>
  <cp:contentStatus/>
</cp:coreProperties>
</file>
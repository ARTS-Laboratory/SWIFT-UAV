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66925"/>
  <xr:revisionPtr revIDLastSave="0" documentId="8_{EEE561AE-8B42-4C0F-B0E8-D4E625CB3643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/>
  <c r="E6" i="1"/>
  <c r="E5" i="1"/>
  <c r="E4" i="1"/>
  <c r="E26" i="1" s="1"/>
</calcChain>
</file>

<file path=xl/sharedStrings.xml><?xml version="1.0" encoding="utf-8"?>
<sst xmlns="http://schemas.openxmlformats.org/spreadsheetml/2006/main" count="49" uniqueCount="32">
  <si>
    <t>Name</t>
  </si>
  <si>
    <t>Quanitity</t>
  </si>
  <si>
    <t>Price</t>
  </si>
  <si>
    <t>Total Price</t>
  </si>
  <si>
    <t>Source</t>
  </si>
  <si>
    <t>Fuselage</t>
  </si>
  <si>
    <t>3D printed</t>
  </si>
  <si>
    <t>Front Cover</t>
  </si>
  <si>
    <t>Wings</t>
  </si>
  <si>
    <t>Tail</t>
  </si>
  <si>
    <t>Aluminum 20x20</t>
  </si>
  <si>
    <t>5m</t>
  </si>
  <si>
    <t>Link</t>
  </si>
  <si>
    <t>M5</t>
  </si>
  <si>
    <t>T-Slot Nut</t>
  </si>
  <si>
    <t>T-Plate</t>
  </si>
  <si>
    <t>PixHawk 6x Flight Controller</t>
  </si>
  <si>
    <t>Motor</t>
  </si>
  <si>
    <t>Propeller</t>
  </si>
  <si>
    <t>wait</t>
  </si>
  <si>
    <t>Pitot</t>
  </si>
  <si>
    <t>VTX</t>
  </si>
  <si>
    <t>GPS</t>
  </si>
  <si>
    <t>LiPo 12s Battery</t>
  </si>
  <si>
    <t>Voltage step down</t>
  </si>
  <si>
    <t>ESC</t>
  </si>
  <si>
    <t>KST DS215MG</t>
  </si>
  <si>
    <t>PDB</t>
  </si>
  <si>
    <t>Telemetry Radio</t>
  </si>
  <si>
    <t>Wire Extensions</t>
  </si>
  <si>
    <t>M6 + Grommet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</si>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</sst>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3" xfId="0" applyBorder="1" applyAlignment="1">
      <alignment horizontal="right"/>
    </xf>
    <xf numFmtId="0" fontId="1" fillId="0" borderId="4" xfId="1" applyBorder="1"/>
    <xf numFmtId="0" fontId="2" fillId="0" borderId="2" xfId="0" applyFont="1" applyBorder="1"/>
    <xf numFmtId="0" fontId="0" fillId="0" borderId="5" xfId="0" applyBorder="1"/>
    <xf numFmtId="164" fontId="0" fillId="0" borderId="0" xfId="0" applyNumberFormat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0" borderId="9" xfId="0" applyNumberForma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3" xfId="0" applyNumberFormat="1" applyBorder="1" applyAlignment="1">
      <alignment vertical="center"/>
    </xf>
    <xf numFmtId="164" fontId="0" fillId="0" borderId="4" xfId="0" applyNumberFormat="1" applyBorder="1" applyAlignment="1">
      <alignment vertical="center"/>
    </xf>
    <xf numFmtId="0" fontId="0" fillId="2" borderId="2" xfId="0" applyFill="1" applyBorder="1"/>
    <xf numFmtId="0" fontId="0" fillId="2" borderId="3" xfId="0" applyFill="1" applyBorder="1"/>
    <xf numFmtId="164" fontId="0" fillId="2" borderId="3" xfId="0" applyNumberFormat="1" applyFill="1" applyBorder="1"/>
    <xf numFmtId="0" fontId="0" fillId="2" borderId="4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inyurl.com/y4ey9ss9" TargetMode="External"/><Relationship Id="rId13" Type="http://schemas.openxmlformats.org/officeDocument/2006/relationships/hyperlink" Target="https://tinyurl.com/3ffam8a5" TargetMode="External"/><Relationship Id="rId3" Type="http://schemas.openxmlformats.org/officeDocument/2006/relationships/hyperlink" Target="https://tinyurl.com/msezv4u3" TargetMode="External"/><Relationship Id="rId7" Type="http://schemas.openxmlformats.org/officeDocument/2006/relationships/hyperlink" Target="https://tinyurl.com/mvcsa2zp" TargetMode="External"/><Relationship Id="rId12" Type="http://schemas.openxmlformats.org/officeDocument/2006/relationships/hyperlink" Target="https://tinyurl.com/mvby7523" TargetMode="External"/><Relationship Id="rId2" Type="http://schemas.openxmlformats.org/officeDocument/2006/relationships/hyperlink" Target="https://tinyurl.com/5n8cp6yr" TargetMode="External"/><Relationship Id="rId1" Type="http://schemas.openxmlformats.org/officeDocument/2006/relationships/hyperlink" Target="https://tinyurl.com/2tzwbnz3" TargetMode="External"/><Relationship Id="rId6" Type="http://schemas.openxmlformats.org/officeDocument/2006/relationships/hyperlink" Target="https://tinyurl.com/4ffmuvcu" TargetMode="External"/><Relationship Id="rId11" Type="http://schemas.openxmlformats.org/officeDocument/2006/relationships/hyperlink" Target="https://tinyurl.com/3btun4br" TargetMode="External"/><Relationship Id="rId5" Type="http://schemas.openxmlformats.org/officeDocument/2006/relationships/hyperlink" Target="https://tinyurl.com/4cbd5437" TargetMode="External"/><Relationship Id="rId15" Type="http://schemas.openxmlformats.org/officeDocument/2006/relationships/hyperlink" Target="https://holybro.com/products/pixhawk-6x?variant=44390763430077" TargetMode="External"/><Relationship Id="rId10" Type="http://schemas.openxmlformats.org/officeDocument/2006/relationships/hyperlink" Target="https://tinyurl.com/5sjrwrex" TargetMode="External"/><Relationship Id="rId4" Type="http://schemas.openxmlformats.org/officeDocument/2006/relationships/hyperlink" Target="https://tinyurl.com/4dfjr2ct" TargetMode="External"/><Relationship Id="rId9" Type="http://schemas.openxmlformats.org/officeDocument/2006/relationships/hyperlink" Target="https://tinyurl.com/bdzytdry" TargetMode="External"/><Relationship Id="rId14" Type="http://schemas.openxmlformats.org/officeDocument/2006/relationships/hyperlink" Target="https://www.getfpv.com/tattu-16000mah-22-2v-6s-30c-lipo-battery-pack-w-xt90-s-plug.html?afid=aVlOV0hBdmd6THc9&amp;referring_service=google-cpc&amp;utm_source=google&amp;utm_medium=cpc&amp;utm_campaign=DM%20-%20NB%20-%20PMax%20-%20Shop%20-%20No-index%20-%20SM%20-%20ALL%20%7C%20Full%20Funnel&amp;utm_content=pmax_x&amp;utm_keyword=&amp;utm_matchtype=&amp;campaign_id=20799936859&amp;network=x&amp;device=c&amp;gc_id=20799936859&amp;gad_source=1&amp;gad_campaignid=20796067361&amp;gbraid=0AAAAAD8cN5LO13Ni1C0XVdflJtTKsBZXo&amp;gclid=Cj0KCQiAnJHMBhDAARIsABr7b84aEXIyf5NGPAVPw_smQ4GSQL2rbkeXq6CMxKuoxSogam3bp_AydlYaAq6UEALw_w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7"/>
  <sheetViews>
    <sheetView tabSelected="1" topLeftCell="A6" workbookViewId="0">
      <selection activeCell="B13" sqref="B13:F13"/>
    </sheetView>
  </sheetViews>
  <sheetFormatPr defaultRowHeight="15"/>
  <cols>
    <col min="2" max="2" width="25.85546875" customWidth="1"/>
    <col min="4" max="4" width="12.7109375" customWidth="1"/>
    <col min="5" max="5" width="13" customWidth="1"/>
    <col min="6" max="6" width="32" customWidth="1"/>
  </cols>
  <sheetData>
    <row r="2" spans="2:6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2:6">
      <c r="B3" s="2" t="s">
        <v>5</v>
      </c>
      <c r="C3" s="3">
        <v>1</v>
      </c>
      <c r="D3" s="4">
        <v>0</v>
      </c>
      <c r="E3" s="4">
        <v>0</v>
      </c>
      <c r="F3" s="5" t="s">
        <v>6</v>
      </c>
    </row>
    <row r="4" spans="2:6">
      <c r="B4" s="2" t="s">
        <v>7</v>
      </c>
      <c r="C4" s="3">
        <v>1</v>
      </c>
      <c r="D4" s="4">
        <v>0</v>
      </c>
      <c r="E4" s="4">
        <f>C4*D4</f>
        <v>0</v>
      </c>
      <c r="F4" s="5" t="s">
        <v>6</v>
      </c>
    </row>
    <row r="5" spans="2:6">
      <c r="B5" s="2" t="s">
        <v>8</v>
      </c>
      <c r="C5" s="3">
        <v>1</v>
      </c>
      <c r="D5" s="4">
        <v>0</v>
      </c>
      <c r="E5" s="4">
        <f>C5*D5</f>
        <v>0</v>
      </c>
      <c r="F5" s="5" t="s">
        <v>6</v>
      </c>
    </row>
    <row r="6" spans="2:6">
      <c r="B6" s="2" t="s">
        <v>9</v>
      </c>
      <c r="C6" s="3">
        <v>1</v>
      </c>
      <c r="D6" s="4">
        <v>0</v>
      </c>
      <c r="E6" s="4">
        <f>C6*D6</f>
        <v>0</v>
      </c>
      <c r="F6" s="5" t="s">
        <v>6</v>
      </c>
    </row>
    <row r="7" spans="2:6">
      <c r="B7" s="2" t="s">
        <v>10</v>
      </c>
      <c r="C7" s="6" t="s">
        <v>11</v>
      </c>
      <c r="D7" s="4">
        <v>0</v>
      </c>
      <c r="E7" s="4">
        <v>57.9</v>
      </c>
      <c r="F7" s="7" t="s">
        <v>12</v>
      </c>
    </row>
    <row r="8" spans="2:6">
      <c r="B8" s="2" t="s">
        <v>13</v>
      </c>
      <c r="C8" s="3"/>
      <c r="D8" s="4"/>
      <c r="E8" s="4">
        <f>C8*D8</f>
        <v>0</v>
      </c>
      <c r="F8" s="5"/>
    </row>
    <row r="9" spans="2:6">
      <c r="B9" s="2" t="s">
        <v>14</v>
      </c>
      <c r="C9" s="3"/>
      <c r="D9" s="4">
        <v>0</v>
      </c>
      <c r="E9" s="4">
        <v>11.99</v>
      </c>
      <c r="F9" s="7" t="s">
        <v>12</v>
      </c>
    </row>
    <row r="10" spans="2:6">
      <c r="B10" s="2" t="s">
        <v>15</v>
      </c>
      <c r="C10" s="3">
        <v>3</v>
      </c>
      <c r="D10" s="4">
        <v>9.68</v>
      </c>
      <c r="E10" s="4">
        <f t="shared" ref="E10:E25" si="0">C10*D10</f>
        <v>29.04</v>
      </c>
      <c r="F10" s="7" t="s">
        <v>12</v>
      </c>
    </row>
    <row r="11" spans="2:6">
      <c r="B11" s="8" t="s">
        <v>16</v>
      </c>
      <c r="C11" s="3">
        <v>1</v>
      </c>
      <c r="D11" s="4">
        <v>280</v>
      </c>
      <c r="E11" s="4">
        <f t="shared" si="0"/>
        <v>280</v>
      </c>
      <c r="F11" s="7" t="s">
        <v>12</v>
      </c>
    </row>
    <row r="12" spans="2:6">
      <c r="B12" s="2" t="s">
        <v>17</v>
      </c>
      <c r="C12" s="3">
        <v>1</v>
      </c>
      <c r="D12" s="4">
        <v>189</v>
      </c>
      <c r="E12" s="4">
        <f t="shared" si="0"/>
        <v>189</v>
      </c>
      <c r="F12" s="7" t="s">
        <v>12</v>
      </c>
    </row>
    <row r="13" spans="2:6">
      <c r="B13" s="21" t="s">
        <v>18</v>
      </c>
      <c r="C13" s="22">
        <v>1</v>
      </c>
      <c r="D13" s="23">
        <v>0</v>
      </c>
      <c r="E13" s="23">
        <f t="shared" si="0"/>
        <v>0</v>
      </c>
      <c r="F13" s="24" t="s">
        <v>19</v>
      </c>
    </row>
    <row r="14" spans="2:6">
      <c r="B14" s="2" t="s">
        <v>20</v>
      </c>
      <c r="C14" s="3">
        <v>1</v>
      </c>
      <c r="D14" s="4">
        <v>49.99</v>
      </c>
      <c r="E14" s="4">
        <f t="shared" si="0"/>
        <v>49.99</v>
      </c>
      <c r="F14" s="7" t="s">
        <v>12</v>
      </c>
    </row>
    <row r="15" spans="2:6">
      <c r="B15" s="2" t="s">
        <v>21</v>
      </c>
      <c r="C15" s="3">
        <v>1</v>
      </c>
      <c r="D15" s="4">
        <v>33.99</v>
      </c>
      <c r="E15" s="4">
        <f t="shared" si="0"/>
        <v>33.99</v>
      </c>
      <c r="F15" s="7" t="s">
        <v>12</v>
      </c>
    </row>
    <row r="16" spans="2:6">
      <c r="B16" s="2" t="s">
        <v>22</v>
      </c>
      <c r="C16" s="3">
        <v>1</v>
      </c>
      <c r="D16" s="4">
        <v>43.99</v>
      </c>
      <c r="E16" s="4">
        <f t="shared" si="0"/>
        <v>43.99</v>
      </c>
      <c r="F16" s="7" t="s">
        <v>12</v>
      </c>
    </row>
    <row r="17" spans="2:6">
      <c r="B17" s="2" t="s">
        <v>23</v>
      </c>
      <c r="C17" s="3">
        <v>1</v>
      </c>
      <c r="D17" s="4">
        <v>454</v>
      </c>
      <c r="E17" s="4">
        <f>C17*D17</f>
        <v>454</v>
      </c>
      <c r="F17" s="7" t="s">
        <v>12</v>
      </c>
    </row>
    <row r="18" spans="2:6">
      <c r="B18" s="2" t="s">
        <v>24</v>
      </c>
      <c r="C18" s="3">
        <v>1</v>
      </c>
      <c r="D18" s="4">
        <v>12.4</v>
      </c>
      <c r="E18" s="4">
        <f t="shared" si="0"/>
        <v>12.4</v>
      </c>
      <c r="F18" s="7" t="s">
        <v>12</v>
      </c>
    </row>
    <row r="19" spans="2:6">
      <c r="B19" s="2" t="s">
        <v>25</v>
      </c>
      <c r="C19" s="3">
        <v>1</v>
      </c>
      <c r="D19" s="4">
        <v>65</v>
      </c>
      <c r="E19" s="4">
        <f t="shared" si="0"/>
        <v>65</v>
      </c>
      <c r="F19" s="7" t="s">
        <v>12</v>
      </c>
    </row>
    <row r="20" spans="2:6">
      <c r="B20" s="8" t="s">
        <v>26</v>
      </c>
      <c r="C20" s="3">
        <v>1</v>
      </c>
      <c r="D20" s="4">
        <v>50.99</v>
      </c>
      <c r="E20" s="4">
        <f t="shared" si="0"/>
        <v>50.99</v>
      </c>
      <c r="F20" s="7" t="s">
        <v>12</v>
      </c>
    </row>
    <row r="21" spans="2:6">
      <c r="B21" s="8" t="s">
        <v>27</v>
      </c>
      <c r="C21" s="3">
        <v>1</v>
      </c>
      <c r="D21" s="4">
        <v>25</v>
      </c>
      <c r="E21" s="4">
        <f t="shared" si="0"/>
        <v>25</v>
      </c>
      <c r="F21" s="7" t="s">
        <v>12</v>
      </c>
    </row>
    <row r="22" spans="2:6">
      <c r="B22" s="8" t="s">
        <v>28</v>
      </c>
      <c r="C22" s="3">
        <v>1</v>
      </c>
      <c r="D22" s="4">
        <v>175</v>
      </c>
      <c r="E22" s="4">
        <f t="shared" si="0"/>
        <v>175</v>
      </c>
      <c r="F22" s="7" t="s">
        <v>12</v>
      </c>
    </row>
    <row r="23" spans="2:6">
      <c r="B23" s="2" t="s">
        <v>29</v>
      </c>
      <c r="C23" s="3">
        <v>5</v>
      </c>
      <c r="D23" s="4">
        <v>12.57</v>
      </c>
      <c r="E23" s="4">
        <f t="shared" si="0"/>
        <v>62.85</v>
      </c>
      <c r="F23" s="7" t="s">
        <v>12</v>
      </c>
    </row>
    <row r="24" spans="2:6">
      <c r="B24" s="2" t="s">
        <v>30</v>
      </c>
      <c r="C24" s="3">
        <v>2</v>
      </c>
      <c r="D24" s="4">
        <v>0</v>
      </c>
      <c r="E24" s="4">
        <f t="shared" si="0"/>
        <v>0</v>
      </c>
      <c r="F24" s="5"/>
    </row>
    <row r="25" spans="2:6">
      <c r="B25" s="9"/>
      <c r="D25" s="10">
        <v>0</v>
      </c>
      <c r="E25" s="4">
        <f t="shared" si="0"/>
        <v>0</v>
      </c>
      <c r="F25" s="5"/>
    </row>
    <row r="26" spans="2:6">
      <c r="B26" s="11" t="s">
        <v>31</v>
      </c>
      <c r="C26" s="12"/>
      <c r="D26" s="13"/>
      <c r="E26" s="14">
        <f>E3+E4+E5+E6+E7+E8+E9+E10+E11+E12+E13+E14+E15+E16+E17+E18+E19+E20+E23+E24+E25</f>
        <v>1341.14</v>
      </c>
      <c r="F26" s="15"/>
    </row>
    <row r="27" spans="2:6">
      <c r="B27" s="16"/>
      <c r="C27" s="17"/>
      <c r="D27" s="18"/>
      <c r="E27" s="19"/>
      <c r="F27" s="20"/>
    </row>
  </sheetData>
  <hyperlinks>
    <hyperlink ref="F7" r:id="rId1" xr:uid="{C709628D-9EAF-4C62-B23B-E3A3787AACCF}"/>
    <hyperlink ref="F9" r:id="rId2" xr:uid="{F7D01AF4-A1F3-4ED6-9884-04F24B5EAB69}"/>
    <hyperlink ref="F10" r:id="rId3" xr:uid="{20D5A467-EA2F-4C11-9A65-9FACE515A367}"/>
    <hyperlink ref="F14" r:id="rId4" xr:uid="{8945BA57-6151-4CE8-979F-C598EBB58373}"/>
    <hyperlink ref="F15" r:id="rId5" xr:uid="{8992FE28-6784-4F18-9B63-E00F66F2A28F}"/>
    <hyperlink ref="F16" r:id="rId6" xr:uid="{59CC5F45-8335-40DE-961E-8463A3E160DB}"/>
    <hyperlink ref="F12" r:id="rId7" xr:uid="{7E274883-FA02-406F-ACE9-EFEFA86E6595}"/>
    <hyperlink ref="F19" r:id="rId8" xr:uid="{94E9850C-DF23-422A-8457-F1956EE0C804}"/>
    <hyperlink ref="F20" r:id="rId9" xr:uid="{E68054EE-37AD-4220-AA45-82C39E9B7EA3}"/>
    <hyperlink ref="F21" r:id="rId10" xr:uid="{FB177922-EC3C-416E-934B-E875EF3F7A9D}"/>
    <hyperlink ref="F18" r:id="rId11" xr:uid="{0699F5B4-DB8F-486B-B90D-447368C88221}"/>
    <hyperlink ref="F22" r:id="rId12" xr:uid="{41E73CF8-F057-49FF-A8E0-EF718DC180BD}"/>
    <hyperlink ref="F23" r:id="rId13" xr:uid="{86AB800F-E620-40CF-BB38-61A94372CE0B}"/>
    <hyperlink ref="F17" r:id="rId14" xr:uid="{4979DAA9-0DE4-4CD4-A552-4B0CB015F101}"/>
    <hyperlink ref="F11" r:id="rId15" xr:uid="{911A5C91-D8B3-4AB1-8185-25D0807F0DE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2026-02-05T19:59:19Z</dcterms:created>
  <dcterms:modified xsi:type="dcterms:W3CDTF">2026-02-05T20:04:25Z</dcterms:modified>
  <cp:category/>
  <cp:contentStatus/>
</cp:coreProperties>
</file>
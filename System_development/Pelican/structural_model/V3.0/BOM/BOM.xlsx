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atthew_burnett_sc_edu/Documents/UAV/SWIFT-UAV/System_development/Pelican/structural_model/V3.0/BOM/"/>
    </mc:Choice>
  </mc:AlternateContent>
  <xr:revisionPtr revIDLastSave="123" documentId="8_{EEE561AE-8B42-4C0F-B0E8-D4E625CB3643}" xr6:coauthVersionLast="47" xr6:coauthVersionMax="47" xr10:uidLastSave="{302CE737-4015-41E1-8A07-CEF5D502576E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2" l="1"/>
  <c r="A40" i="2"/>
  <c r="M32" i="2"/>
  <c r="M28" i="2"/>
  <c r="H32" i="2"/>
  <c r="H28" i="2"/>
  <c r="C28" i="2"/>
  <c r="C32" i="2"/>
  <c r="E23" i="2"/>
  <c r="E25" i="1"/>
  <c r="E24" i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E8" i="1"/>
  <c r="E6" i="1"/>
  <c r="E5" i="1"/>
  <c r="E4" i="1"/>
  <c r="E26" i="1" l="1"/>
</calcChain>
</file>

<file path=xl/sharedStrings.xml><?xml version="1.0" encoding="utf-8"?>
<sst xmlns="http://schemas.openxmlformats.org/spreadsheetml/2006/main" count="122" uniqueCount="88">
  <si>
    <t>Name</t>
  </si>
  <si>
    <t>Quanitity</t>
  </si>
  <si>
    <t>Price</t>
  </si>
  <si>
    <t>Total Price</t>
  </si>
  <si>
    <t>Source</t>
  </si>
  <si>
    <t>Fuselage</t>
  </si>
  <si>
    <t>3D printed</t>
  </si>
  <si>
    <t>Front Cover</t>
  </si>
  <si>
    <t>Wings</t>
  </si>
  <si>
    <t>Tail</t>
  </si>
  <si>
    <t>Aluminum 20x20</t>
  </si>
  <si>
    <t>5m</t>
  </si>
  <si>
    <t>Link</t>
  </si>
  <si>
    <t>M5</t>
  </si>
  <si>
    <t>T-Slot Nut</t>
  </si>
  <si>
    <t>T-Plate</t>
  </si>
  <si>
    <t>PixHawk 6x Flight Controller</t>
  </si>
  <si>
    <t>Motor</t>
  </si>
  <si>
    <t>Propeller</t>
  </si>
  <si>
    <t>Pitot</t>
  </si>
  <si>
    <t>VTX</t>
  </si>
  <si>
    <t>GPS</t>
  </si>
  <si>
    <t>LiPo 12s Battery</t>
  </si>
  <si>
    <t>Voltage step down</t>
  </si>
  <si>
    <t>ESC</t>
  </si>
  <si>
    <t>KST DS215MG</t>
  </si>
  <si>
    <t>PDB</t>
  </si>
  <si>
    <t>Telemetry Radio</t>
  </si>
  <si>
    <t>Wire Extensions</t>
  </si>
  <si>
    <t>M6 + Grommet</t>
  </si>
  <si>
    <t>Total</t>
  </si>
  <si>
    <t>Number of Cells</t>
  </si>
  <si>
    <t>Lift Force (N)</t>
  </si>
  <si>
    <t>CL</t>
  </si>
  <si>
    <t>AOA (degrees)</t>
  </si>
  <si>
    <t>Lift (N)</t>
  </si>
  <si>
    <t>Speed (m/s)</t>
  </si>
  <si>
    <t>(AOA 3)</t>
  </si>
  <si>
    <t>(AOA 2)</t>
  </si>
  <si>
    <t>Variations</t>
  </si>
  <si>
    <t>Results</t>
  </si>
  <si>
    <t>AOA (deg)</t>
  </si>
  <si>
    <t>Flight Velocity (m/s)</t>
  </si>
  <si>
    <t>CD</t>
  </si>
  <si>
    <t>CM</t>
  </si>
  <si>
    <t>Drag Force (N)</t>
  </si>
  <si>
    <t xml:space="preserve">~ 20kg of lift </t>
  </si>
  <si>
    <t>Assume</t>
  </si>
  <si>
    <t>20kgf lift</t>
  </si>
  <si>
    <t>3 kgf drag</t>
  </si>
  <si>
    <t>L/D ratio</t>
  </si>
  <si>
    <t>(cesna is 9 for context)</t>
  </si>
  <si>
    <t>Very conservative estimate (will likley be closer to 2kgf)</t>
  </si>
  <si>
    <t>Engine sizing</t>
  </si>
  <si>
    <t>Config 1</t>
  </si>
  <si>
    <t>10S 19x10</t>
  </si>
  <si>
    <t>Cruise @</t>
  </si>
  <si>
    <t>11 Amps</t>
  </si>
  <si>
    <t>12S 19x10</t>
  </si>
  <si>
    <t>Max thrust (TWR)</t>
  </si>
  <si>
    <t>9.1 Amps</t>
  </si>
  <si>
    <t>Config 2</t>
  </si>
  <si>
    <t>Config 3</t>
  </si>
  <si>
    <t>Config 4</t>
  </si>
  <si>
    <t>10S 20x10</t>
  </si>
  <si>
    <t>12S 20x10</t>
  </si>
  <si>
    <t>10.1 Amps</t>
  </si>
  <si>
    <t>Config 5</t>
  </si>
  <si>
    <t>Config 6</t>
  </si>
  <si>
    <t>10S 21x10</t>
  </si>
  <si>
    <t>12S 21x10</t>
  </si>
  <si>
    <t>8.6 Amps</t>
  </si>
  <si>
    <t>8 Amps</t>
  </si>
  <si>
    <t>Battey sizing</t>
  </si>
  <si>
    <t>Clearly 21x10 prop</t>
  </si>
  <si>
    <t>Target 1hr cruise</t>
  </si>
  <si>
    <t>assume 120% cruise capacity for take of and landing use</t>
  </si>
  <si>
    <t>Config 5 10S</t>
  </si>
  <si>
    <t>Ah</t>
  </si>
  <si>
    <t>Battery weight</t>
  </si>
  <si>
    <t>Config 6 12S</t>
  </si>
  <si>
    <t>1Kg</t>
  </si>
  <si>
    <t>https://zeeebattery.com/collections/zeee-6s-lipo-battery/products/zeee-6s-lipo-battery-10000mah-22-2v-120c-ec5</t>
  </si>
  <si>
    <t>* currently on sale for 306</t>
  </si>
  <si>
    <t xml:space="preserve">*Still need TX RX  Remote ID </t>
  </si>
  <si>
    <t xml:space="preserve">ALWAYS HAVE A SPARE </t>
  </si>
  <si>
    <t xml:space="preserve">Needs to be a </t>
  </si>
  <si>
    <t>*separate into must haves to fly and extra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</si>
</sst>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1" fillId="0" borderId="4" xfId="1" applyBorder="1"/>
    <xf numFmtId="0" fontId="2" fillId="0" borderId="2" xfId="0" applyFont="1" applyBorder="1"/>
    <xf numFmtId="0" fontId="0" fillId="0" borderId="5" xfId="0" applyBorder="1"/>
    <xf numFmtId="164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0" fontId="0" fillId="0" borderId="0" xfId="0" applyNumberFormat="1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Fill="1" applyBorder="1"/>
    <xf numFmtId="164" fontId="0" fillId="0" borderId="3" xfId="0" applyNumberFormat="1" applyFill="1" applyBorder="1"/>
    <xf numFmtId="0" fontId="1" fillId="0" borderId="4" xfId="1" applyFill="1" applyBorder="1"/>
    <xf numFmtId="0" fontId="3" fillId="0" borderId="3" xfId="0" applyFont="1" applyFill="1" applyBorder="1"/>
    <xf numFmtId="164" fontId="3" fillId="0" borderId="3" xfId="0" applyNumberFormat="1" applyFont="1" applyBorder="1"/>
    <xf numFmtId="0" fontId="5" fillId="5" borderId="2" xfId="0" applyFont="1" applyFill="1" applyBorder="1"/>
    <xf numFmtId="0" fontId="5" fillId="5" borderId="3" xfId="0" applyFont="1" applyFill="1" applyBorder="1"/>
    <xf numFmtId="164" fontId="5" fillId="5" borderId="3" xfId="0" applyNumberFormat="1" applyFont="1" applyFill="1" applyBorder="1"/>
    <xf numFmtId="0" fontId="6" fillId="5" borderId="4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y4ey9ss9" TargetMode="External"/><Relationship Id="rId13" Type="http://schemas.openxmlformats.org/officeDocument/2006/relationships/hyperlink" Target="https://tinyurl.com/3ffam8a5" TargetMode="External"/><Relationship Id="rId3" Type="http://schemas.openxmlformats.org/officeDocument/2006/relationships/hyperlink" Target="https://tinyurl.com/msezv4u3" TargetMode="External"/><Relationship Id="rId7" Type="http://schemas.openxmlformats.org/officeDocument/2006/relationships/hyperlink" Target="https://tinyurl.com/mvcsa2zp" TargetMode="External"/><Relationship Id="rId12" Type="http://schemas.openxmlformats.org/officeDocument/2006/relationships/hyperlink" Target="https://tinyurl.com/mvby7523" TargetMode="External"/><Relationship Id="rId2" Type="http://schemas.openxmlformats.org/officeDocument/2006/relationships/hyperlink" Target="https://tinyurl.com/5n8cp6yr" TargetMode="External"/><Relationship Id="rId16" Type="http://schemas.openxmlformats.org/officeDocument/2006/relationships/hyperlink" Target="https://mad-motor.com/products/21-inch-carbon-fiber-propeller-1pc?VariantsId=10269" TargetMode="External"/><Relationship Id="rId1" Type="http://schemas.openxmlformats.org/officeDocument/2006/relationships/hyperlink" Target="https://tinyurl.com/2tzwbnz3" TargetMode="External"/><Relationship Id="rId6" Type="http://schemas.openxmlformats.org/officeDocument/2006/relationships/hyperlink" Target="https://tinyurl.com/4ffmuvcu" TargetMode="External"/><Relationship Id="rId11" Type="http://schemas.openxmlformats.org/officeDocument/2006/relationships/hyperlink" Target="https://tinyurl.com/3btun4br" TargetMode="External"/><Relationship Id="rId5" Type="http://schemas.openxmlformats.org/officeDocument/2006/relationships/hyperlink" Target="https://tinyurl.com/4cbd5437" TargetMode="External"/><Relationship Id="rId15" Type="http://schemas.openxmlformats.org/officeDocument/2006/relationships/hyperlink" Target="https://holybro.com/products/pixhawk-6x?variant=44390763430077" TargetMode="External"/><Relationship Id="rId10" Type="http://schemas.openxmlformats.org/officeDocument/2006/relationships/hyperlink" Target="https://tinyurl.com/5sjrwrex" TargetMode="External"/><Relationship Id="rId4" Type="http://schemas.openxmlformats.org/officeDocument/2006/relationships/hyperlink" Target="https://tinyurl.com/4dfjr2ct" TargetMode="External"/><Relationship Id="rId9" Type="http://schemas.openxmlformats.org/officeDocument/2006/relationships/hyperlink" Target="https://tinyurl.com/bdzytdry" TargetMode="External"/><Relationship Id="rId14" Type="http://schemas.openxmlformats.org/officeDocument/2006/relationships/hyperlink" Target="https://zeeebattery.com/collections/zeee-6s-lipo-battery/products/zeee-6s-lipo-battery-10000mah-22-2v-120c-e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4"/>
  <sheetViews>
    <sheetView tabSelected="1" topLeftCell="A2" zoomScale="160" zoomScaleNormal="160" workbookViewId="0">
      <selection activeCell="N7" sqref="N7"/>
    </sheetView>
  </sheetViews>
  <sheetFormatPr defaultRowHeight="15" x14ac:dyDescent="0.25"/>
  <cols>
    <col min="2" max="2" width="25.85546875" customWidth="1"/>
    <col min="4" max="4" width="12.7109375" customWidth="1"/>
    <col min="5" max="5" width="13" customWidth="1"/>
    <col min="6" max="6" width="32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7" x14ac:dyDescent="0.25">
      <c r="B3" s="2" t="s">
        <v>5</v>
      </c>
      <c r="C3" s="3">
        <v>1</v>
      </c>
      <c r="D3" s="4">
        <v>0</v>
      </c>
      <c r="E3" s="4">
        <v>0</v>
      </c>
      <c r="F3" s="5" t="s">
        <v>6</v>
      </c>
    </row>
    <row r="4" spans="2:7" x14ac:dyDescent="0.25">
      <c r="B4" s="2" t="s">
        <v>7</v>
      </c>
      <c r="C4" s="3">
        <v>1</v>
      </c>
      <c r="D4" s="4">
        <v>0</v>
      </c>
      <c r="E4" s="4">
        <f>C4*D4</f>
        <v>0</v>
      </c>
      <c r="F4" s="5" t="s">
        <v>6</v>
      </c>
    </row>
    <row r="5" spans="2:7" x14ac:dyDescent="0.25">
      <c r="B5" s="2" t="s">
        <v>8</v>
      </c>
      <c r="C5" s="3">
        <v>1</v>
      </c>
      <c r="D5" s="4">
        <v>0</v>
      </c>
      <c r="E5" s="4">
        <f>C5*D5</f>
        <v>0</v>
      </c>
      <c r="F5" s="5" t="s">
        <v>6</v>
      </c>
    </row>
    <row r="6" spans="2:7" x14ac:dyDescent="0.25">
      <c r="B6" s="2" t="s">
        <v>9</v>
      </c>
      <c r="C6" s="3">
        <v>1</v>
      </c>
      <c r="D6" s="4">
        <v>0</v>
      </c>
      <c r="E6" s="4">
        <f>C6*D6</f>
        <v>0</v>
      </c>
      <c r="F6" s="5" t="s">
        <v>6</v>
      </c>
    </row>
    <row r="7" spans="2:7" x14ac:dyDescent="0.25">
      <c r="B7" s="2" t="s">
        <v>10</v>
      </c>
      <c r="C7" s="6" t="s">
        <v>11</v>
      </c>
      <c r="D7" s="4">
        <v>0</v>
      </c>
      <c r="E7" s="4">
        <v>57.9</v>
      </c>
      <c r="F7" s="7" t="s">
        <v>12</v>
      </c>
    </row>
    <row r="8" spans="2:7" x14ac:dyDescent="0.25">
      <c r="B8" s="2" t="s">
        <v>13</v>
      </c>
      <c r="C8" s="3"/>
      <c r="D8" s="4"/>
      <c r="E8" s="4">
        <f>C8*D8</f>
        <v>0</v>
      </c>
      <c r="F8" s="5"/>
    </row>
    <row r="9" spans="2:7" x14ac:dyDescent="0.25">
      <c r="B9" s="2" t="s">
        <v>14</v>
      </c>
      <c r="C9" s="3"/>
      <c r="D9" s="4">
        <v>0</v>
      </c>
      <c r="E9" s="4">
        <v>11.99</v>
      </c>
      <c r="F9" s="7" t="s">
        <v>12</v>
      </c>
    </row>
    <row r="10" spans="2:7" x14ac:dyDescent="0.25">
      <c r="B10" s="2" t="s">
        <v>15</v>
      </c>
      <c r="C10" s="3">
        <v>3</v>
      </c>
      <c r="D10" s="4">
        <v>9.68</v>
      </c>
      <c r="E10" s="4">
        <f t="shared" ref="E10:E25" si="0">C10*D10</f>
        <v>29.04</v>
      </c>
      <c r="F10" s="7" t="s">
        <v>12</v>
      </c>
    </row>
    <row r="11" spans="2:7" x14ac:dyDescent="0.25">
      <c r="B11" s="8" t="s">
        <v>16</v>
      </c>
      <c r="C11" s="3">
        <v>1</v>
      </c>
      <c r="D11" s="4">
        <v>280</v>
      </c>
      <c r="E11" s="4">
        <f t="shared" si="0"/>
        <v>280</v>
      </c>
      <c r="F11" s="7" t="s">
        <v>12</v>
      </c>
    </row>
    <row r="12" spans="2:7" x14ac:dyDescent="0.25">
      <c r="B12" s="2" t="s">
        <v>17</v>
      </c>
      <c r="C12" s="3">
        <v>1</v>
      </c>
      <c r="D12" s="4">
        <v>189</v>
      </c>
      <c r="E12" s="4">
        <f t="shared" si="0"/>
        <v>189</v>
      </c>
      <c r="F12" s="7" t="s">
        <v>12</v>
      </c>
    </row>
    <row r="13" spans="2:7" x14ac:dyDescent="0.25">
      <c r="B13" s="29" t="s">
        <v>18</v>
      </c>
      <c r="C13" s="32">
        <v>2</v>
      </c>
      <c r="D13" s="30">
        <v>79</v>
      </c>
      <c r="E13" s="30">
        <f t="shared" si="0"/>
        <v>158</v>
      </c>
      <c r="F13" s="31" t="s">
        <v>12</v>
      </c>
      <c r="G13" s="23" t="s">
        <v>85</v>
      </c>
    </row>
    <row r="14" spans="2:7" x14ac:dyDescent="0.25">
      <c r="B14" s="2" t="s">
        <v>19</v>
      </c>
      <c r="C14" s="3">
        <v>1</v>
      </c>
      <c r="D14" s="4">
        <v>49.99</v>
      </c>
      <c r="E14" s="4">
        <f t="shared" si="0"/>
        <v>49.99</v>
      </c>
      <c r="F14" s="7" t="s">
        <v>12</v>
      </c>
    </row>
    <row r="15" spans="2:7" x14ac:dyDescent="0.25">
      <c r="B15" s="2" t="s">
        <v>20</v>
      </c>
      <c r="C15" s="3">
        <v>1</v>
      </c>
      <c r="D15" s="4">
        <v>33.99</v>
      </c>
      <c r="E15" s="4">
        <f t="shared" si="0"/>
        <v>33.99</v>
      </c>
      <c r="F15" s="7" t="s">
        <v>12</v>
      </c>
    </row>
    <row r="16" spans="2:7" x14ac:dyDescent="0.25">
      <c r="B16" s="2" t="s">
        <v>21</v>
      </c>
      <c r="C16" s="3">
        <v>1</v>
      </c>
      <c r="D16" s="4">
        <v>43.99</v>
      </c>
      <c r="E16" s="4">
        <f t="shared" si="0"/>
        <v>43.99</v>
      </c>
      <c r="F16" s="7" t="s">
        <v>12</v>
      </c>
    </row>
    <row r="17" spans="2:7" x14ac:dyDescent="0.25">
      <c r="B17" s="2" t="s">
        <v>22</v>
      </c>
      <c r="C17" s="3">
        <v>1</v>
      </c>
      <c r="D17" s="33">
        <v>429.99</v>
      </c>
      <c r="E17" s="4">
        <v>429.99</v>
      </c>
      <c r="F17" s="7" t="s">
        <v>12</v>
      </c>
      <c r="G17" s="23" t="s">
        <v>83</v>
      </c>
    </row>
    <row r="18" spans="2:7" x14ac:dyDescent="0.25">
      <c r="B18" s="34" t="s">
        <v>23</v>
      </c>
      <c r="C18" s="35">
        <v>1</v>
      </c>
      <c r="D18" s="36">
        <v>12.4</v>
      </c>
      <c r="E18" s="36">
        <f t="shared" si="0"/>
        <v>12.4</v>
      </c>
      <c r="F18" s="37" t="s">
        <v>12</v>
      </c>
      <c r="G18" t="s">
        <v>86</v>
      </c>
    </row>
    <row r="19" spans="2:7" x14ac:dyDescent="0.25">
      <c r="B19" s="2" t="s">
        <v>24</v>
      </c>
      <c r="C19" s="3">
        <v>1</v>
      </c>
      <c r="D19" s="4">
        <v>65</v>
      </c>
      <c r="E19" s="4">
        <f t="shared" si="0"/>
        <v>65</v>
      </c>
      <c r="F19" s="7" t="s">
        <v>12</v>
      </c>
    </row>
    <row r="20" spans="2:7" x14ac:dyDescent="0.25">
      <c r="B20" s="8" t="s">
        <v>25</v>
      </c>
      <c r="C20" s="3">
        <v>1</v>
      </c>
      <c r="D20" s="4">
        <v>50.99</v>
      </c>
      <c r="E20" s="4">
        <f t="shared" si="0"/>
        <v>50.99</v>
      </c>
      <c r="F20" s="7" t="s">
        <v>12</v>
      </c>
    </row>
    <row r="21" spans="2:7" x14ac:dyDescent="0.25">
      <c r="B21" s="8" t="s">
        <v>26</v>
      </c>
      <c r="C21" s="3">
        <v>1</v>
      </c>
      <c r="D21" s="4">
        <v>25</v>
      </c>
      <c r="E21" s="4">
        <f t="shared" si="0"/>
        <v>25</v>
      </c>
      <c r="F21" s="7" t="s">
        <v>12</v>
      </c>
    </row>
    <row r="22" spans="2:7" x14ac:dyDescent="0.25">
      <c r="B22" s="8" t="s">
        <v>27</v>
      </c>
      <c r="C22" s="3">
        <v>1</v>
      </c>
      <c r="D22" s="4">
        <v>175</v>
      </c>
      <c r="E22" s="4">
        <f t="shared" si="0"/>
        <v>175</v>
      </c>
      <c r="F22" s="7" t="s">
        <v>12</v>
      </c>
    </row>
    <row r="23" spans="2:7" x14ac:dyDescent="0.25">
      <c r="B23" s="2" t="s">
        <v>28</v>
      </c>
      <c r="C23" s="3">
        <v>5</v>
      </c>
      <c r="D23" s="4">
        <v>12.57</v>
      </c>
      <c r="E23" s="4">
        <f t="shared" si="0"/>
        <v>62.85</v>
      </c>
      <c r="F23" s="7" t="s">
        <v>12</v>
      </c>
    </row>
    <row r="24" spans="2:7" x14ac:dyDescent="0.25">
      <c r="B24" s="2" t="s">
        <v>29</v>
      </c>
      <c r="C24" s="3">
        <v>2</v>
      </c>
      <c r="D24" s="4">
        <v>0</v>
      </c>
      <c r="E24" s="4">
        <f t="shared" si="0"/>
        <v>0</v>
      </c>
      <c r="F24" s="5"/>
    </row>
    <row r="25" spans="2:7" x14ac:dyDescent="0.25">
      <c r="B25" s="9"/>
      <c r="D25" s="10">
        <v>0</v>
      </c>
      <c r="E25" s="4">
        <f t="shared" si="0"/>
        <v>0</v>
      </c>
      <c r="F25" s="5"/>
    </row>
    <row r="26" spans="2:7" x14ac:dyDescent="0.25">
      <c r="B26" s="11" t="s">
        <v>30</v>
      </c>
      <c r="C26" s="12"/>
      <c r="D26" s="13"/>
      <c r="E26" s="14">
        <f>E3+E4+E5+E6+E7+E8+E9+E10+E11+E12+E13+E14+E15+E16+E17+E18+E19+E20+E23+E24+E25</f>
        <v>1475.13</v>
      </c>
      <c r="F26" s="15"/>
    </row>
    <row r="27" spans="2:7" x14ac:dyDescent="0.25">
      <c r="B27" s="16"/>
      <c r="C27" s="17"/>
      <c r="D27" s="18"/>
      <c r="E27" s="19"/>
      <c r="F27" s="20"/>
    </row>
    <row r="31" spans="2:7" x14ac:dyDescent="0.25">
      <c r="B31" t="s">
        <v>84</v>
      </c>
    </row>
    <row r="34" spans="2:2" x14ac:dyDescent="0.25">
      <c r="B34" t="s">
        <v>87</v>
      </c>
    </row>
  </sheetData>
  <hyperlinks>
    <hyperlink ref="F7" r:id="rId1" xr:uid="{C709628D-9EAF-4C62-B23B-E3A3787AACCF}"/>
    <hyperlink ref="F9" r:id="rId2" xr:uid="{F7D01AF4-A1F3-4ED6-9884-04F24B5EAB69}"/>
    <hyperlink ref="F10" r:id="rId3" xr:uid="{20D5A467-EA2F-4C11-9A65-9FACE515A367}"/>
    <hyperlink ref="F14" r:id="rId4" xr:uid="{8945BA57-6151-4CE8-979F-C598EBB58373}"/>
    <hyperlink ref="F15" r:id="rId5" xr:uid="{8992FE28-6784-4F18-9B63-E00F66F2A28F}"/>
    <hyperlink ref="F16" r:id="rId6" xr:uid="{59CC5F45-8335-40DE-961E-8463A3E160DB}"/>
    <hyperlink ref="F12" r:id="rId7" xr:uid="{7E274883-FA02-406F-ACE9-EFEFA86E6595}"/>
    <hyperlink ref="F19" r:id="rId8" xr:uid="{94E9850C-DF23-422A-8457-F1956EE0C804}"/>
    <hyperlink ref="F20" r:id="rId9" xr:uid="{E68054EE-37AD-4220-AA45-82C39E9B7EA3}"/>
    <hyperlink ref="F21" r:id="rId10" xr:uid="{FB177922-EC3C-416E-934B-E875EF3F7A9D}"/>
    <hyperlink ref="F18" r:id="rId11" xr:uid="{0699F5B4-DB8F-486B-B90D-447368C88221}"/>
    <hyperlink ref="F22" r:id="rId12" xr:uid="{41E73CF8-F057-49FF-A8E0-EF718DC180BD}"/>
    <hyperlink ref="F23" r:id="rId13" xr:uid="{86AB800F-E620-40CF-BB38-61A94372CE0B}"/>
    <hyperlink ref="F17" r:id="rId14" xr:uid="{4979DAA9-0DE4-4CD4-A552-4B0CB015F101}"/>
    <hyperlink ref="F11" r:id="rId15" xr:uid="{911A5C91-D8B3-4AB1-8185-25D0807F0DE3}"/>
    <hyperlink ref="F13" r:id="rId16" xr:uid="{98AA6020-6FB8-4460-946E-E6098C8EEB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8BCD-5B31-4AFB-8140-1A9E8488487E}">
  <dimension ref="A1:P45"/>
  <sheetViews>
    <sheetView topLeftCell="A22" zoomScale="190" zoomScaleNormal="190" workbookViewId="0">
      <selection activeCell="I36" sqref="I36"/>
    </sheetView>
  </sheetViews>
  <sheetFormatPr defaultRowHeight="15" x14ac:dyDescent="0.25"/>
  <cols>
    <col min="3" max="3" width="9.140625" customWidth="1"/>
  </cols>
  <sheetData>
    <row r="1" spans="1:12" x14ac:dyDescent="0.25">
      <c r="A1" t="s">
        <v>31</v>
      </c>
      <c r="B1" t="s">
        <v>32</v>
      </c>
      <c r="D1" t="s">
        <v>33</v>
      </c>
      <c r="G1" t="s">
        <v>34</v>
      </c>
      <c r="H1" t="s">
        <v>33</v>
      </c>
      <c r="I1" t="s">
        <v>35</v>
      </c>
      <c r="K1" t="s">
        <v>36</v>
      </c>
      <c r="L1" t="s">
        <v>32</v>
      </c>
    </row>
    <row r="2" spans="1:12" x14ac:dyDescent="0.25">
      <c r="A2">
        <v>1893987</v>
      </c>
      <c r="B2">
        <v>86.1</v>
      </c>
      <c r="C2" s="21">
        <v>1.5800000000000002E-2</v>
      </c>
      <c r="D2">
        <v>0.40899999999999997</v>
      </c>
      <c r="E2" s="21">
        <v>1.7100000000000001E-2</v>
      </c>
      <c r="G2">
        <v>0</v>
      </c>
      <c r="H2">
        <v>0.39500000000000002</v>
      </c>
      <c r="I2">
        <v>83.2</v>
      </c>
      <c r="K2" t="s">
        <v>37</v>
      </c>
    </row>
    <row r="3" spans="1:12" x14ac:dyDescent="0.25">
      <c r="A3">
        <v>3632193</v>
      </c>
      <c r="B3">
        <v>84.74</v>
      </c>
      <c r="C3" s="21">
        <v>1.5599999999999999E-2</v>
      </c>
      <c r="D3">
        <v>0.40200000000000002</v>
      </c>
      <c r="E3" s="21">
        <v>1.49E-2</v>
      </c>
      <c r="G3">
        <v>1</v>
      </c>
      <c r="K3">
        <v>30</v>
      </c>
      <c r="L3">
        <v>191.1</v>
      </c>
    </row>
    <row r="4" spans="1:12" x14ac:dyDescent="0.25">
      <c r="A4">
        <v>6292121</v>
      </c>
      <c r="B4">
        <v>83.42</v>
      </c>
      <c r="D4">
        <v>0.39600000000000002</v>
      </c>
      <c r="G4">
        <v>2</v>
      </c>
      <c r="K4">
        <v>25</v>
      </c>
      <c r="L4">
        <v>131.77000000000001</v>
      </c>
    </row>
    <row r="5" spans="1:12" x14ac:dyDescent="0.25">
      <c r="G5">
        <v>3</v>
      </c>
      <c r="H5">
        <v>0.39600000000000002</v>
      </c>
      <c r="I5">
        <v>83.3</v>
      </c>
    </row>
    <row r="6" spans="1:12" x14ac:dyDescent="0.25">
      <c r="G6">
        <v>4</v>
      </c>
      <c r="K6" t="s">
        <v>38</v>
      </c>
    </row>
    <row r="7" spans="1:12" x14ac:dyDescent="0.25">
      <c r="G7">
        <v>5</v>
      </c>
      <c r="H7">
        <v>0.40400000000000003</v>
      </c>
      <c r="I7">
        <v>85.1</v>
      </c>
      <c r="K7">
        <v>25</v>
      </c>
      <c r="L7">
        <v>131.82</v>
      </c>
    </row>
    <row r="9" spans="1:12" x14ac:dyDescent="0.25">
      <c r="A9" t="s">
        <v>39</v>
      </c>
      <c r="C9" t="s">
        <v>40</v>
      </c>
    </row>
    <row r="10" spans="1:12" x14ac:dyDescent="0.25">
      <c r="A10" t="s">
        <v>41</v>
      </c>
      <c r="B10" t="s">
        <v>42</v>
      </c>
      <c r="C10" t="s">
        <v>33</v>
      </c>
      <c r="D10" t="s">
        <v>43</v>
      </c>
      <c r="E10" t="s">
        <v>44</v>
      </c>
      <c r="F10" t="s">
        <v>32</v>
      </c>
      <c r="G10" t="s">
        <v>45</v>
      </c>
    </row>
    <row r="11" spans="1:12" x14ac:dyDescent="0.25">
      <c r="A11">
        <v>0</v>
      </c>
      <c r="B11">
        <v>20</v>
      </c>
      <c r="C11">
        <v>0.40239999999999998</v>
      </c>
      <c r="D11">
        <v>4.6899999999999997E-2</v>
      </c>
      <c r="E11">
        <v>-6.1899999999999997E-2</v>
      </c>
      <c r="F11">
        <v>84.790999999999997</v>
      </c>
      <c r="G11">
        <v>9.8819999999999997</v>
      </c>
    </row>
    <row r="12" spans="1:12" x14ac:dyDescent="0.25">
      <c r="A12">
        <v>2</v>
      </c>
      <c r="B12">
        <v>20</v>
      </c>
      <c r="C12">
        <v>0.40460000000000002</v>
      </c>
      <c r="D12">
        <v>4.6899999999999997E-2</v>
      </c>
      <c r="E12">
        <v>-6.2300000000000001E-2</v>
      </c>
      <c r="F12">
        <v>85.239000000000004</v>
      </c>
      <c r="G12">
        <v>9.8780000000000001</v>
      </c>
    </row>
    <row r="13" spans="1:12" x14ac:dyDescent="0.25">
      <c r="A13">
        <v>2</v>
      </c>
      <c r="B13">
        <v>25</v>
      </c>
      <c r="C13">
        <v>0.40039999999999998</v>
      </c>
      <c r="D13">
        <v>4.5600000000000002E-2</v>
      </c>
      <c r="E13">
        <v>-6.0900000000000003E-2</v>
      </c>
      <c r="F13">
        <v>131.82599999999999</v>
      </c>
      <c r="G13">
        <v>14.999000000000001</v>
      </c>
    </row>
    <row r="14" spans="1:12" x14ac:dyDescent="0.25">
      <c r="A14">
        <v>3</v>
      </c>
      <c r="B14">
        <v>20</v>
      </c>
      <c r="C14">
        <v>0.39560000000000001</v>
      </c>
      <c r="D14">
        <v>4.6300000000000001E-2</v>
      </c>
      <c r="E14">
        <v>-6.0299999999999999E-2</v>
      </c>
      <c r="F14">
        <v>83.346000000000004</v>
      </c>
      <c r="G14">
        <v>9.7579999999999991</v>
      </c>
    </row>
    <row r="15" spans="1:12" x14ac:dyDescent="0.25">
      <c r="A15">
        <v>3</v>
      </c>
      <c r="B15">
        <v>25</v>
      </c>
      <c r="C15">
        <v>0.40029999999999999</v>
      </c>
      <c r="D15">
        <v>4.5600000000000002E-2</v>
      </c>
      <c r="E15">
        <v>-6.0999999999999999E-2</v>
      </c>
      <c r="F15">
        <v>131.77600000000001</v>
      </c>
      <c r="G15">
        <v>15.022</v>
      </c>
    </row>
    <row r="16" spans="1:12" x14ac:dyDescent="0.25">
      <c r="A16" s="22">
        <v>3</v>
      </c>
      <c r="B16" s="22">
        <v>30</v>
      </c>
      <c r="C16" s="22">
        <v>0.40300000000000002</v>
      </c>
      <c r="D16" s="22">
        <v>4.5100000000000001E-2</v>
      </c>
      <c r="E16" s="22">
        <v>-6.1400000000000003E-2</v>
      </c>
      <c r="F16" s="22">
        <v>191.072</v>
      </c>
      <c r="G16" s="22">
        <v>21.39</v>
      </c>
      <c r="I16" t="s">
        <v>46</v>
      </c>
    </row>
    <row r="17" spans="1:16" x14ac:dyDescent="0.25">
      <c r="A17">
        <v>5</v>
      </c>
      <c r="B17">
        <v>20</v>
      </c>
      <c r="C17">
        <v>0.40389999999999998</v>
      </c>
      <c r="D17">
        <v>4.7E-2</v>
      </c>
      <c r="E17">
        <v>-6.2300000000000001E-2</v>
      </c>
      <c r="F17">
        <v>85.094999999999999</v>
      </c>
      <c r="G17">
        <v>9.8930000000000007</v>
      </c>
    </row>
    <row r="19" spans="1:16" x14ac:dyDescent="0.25">
      <c r="A19" s="24" t="s">
        <v>53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6" x14ac:dyDescent="0.25">
      <c r="C20" t="s">
        <v>47</v>
      </c>
    </row>
    <row r="21" spans="1:16" x14ac:dyDescent="0.25">
      <c r="E21" t="s">
        <v>48</v>
      </c>
    </row>
    <row r="22" spans="1:16" x14ac:dyDescent="0.25">
      <c r="E22" s="23" t="s">
        <v>49</v>
      </c>
      <c r="F22" t="s">
        <v>52</v>
      </c>
    </row>
    <row r="23" spans="1:16" x14ac:dyDescent="0.25">
      <c r="E23">
        <f>20/3</f>
        <v>6.666666666666667</v>
      </c>
      <c r="F23" t="s">
        <v>50</v>
      </c>
      <c r="G23" t="s">
        <v>51</v>
      </c>
    </row>
    <row r="25" spans="1:16" x14ac:dyDescent="0.25">
      <c r="B25" t="s">
        <v>54</v>
      </c>
      <c r="G25" t="s">
        <v>62</v>
      </c>
      <c r="J25" s="26"/>
      <c r="L25" s="27" t="s">
        <v>67</v>
      </c>
    </row>
    <row r="26" spans="1:16" x14ac:dyDescent="0.25">
      <c r="B26" t="s">
        <v>55</v>
      </c>
      <c r="G26" t="s">
        <v>64</v>
      </c>
      <c r="L26" t="s">
        <v>69</v>
      </c>
      <c r="P26" t="s">
        <v>74</v>
      </c>
    </row>
    <row r="27" spans="1:16" x14ac:dyDescent="0.25">
      <c r="B27" t="s">
        <v>56</v>
      </c>
      <c r="C27" s="25">
        <v>0.5</v>
      </c>
      <c r="D27" t="s">
        <v>57</v>
      </c>
      <c r="G27" t="s">
        <v>56</v>
      </c>
      <c r="H27" s="25">
        <v>0.5</v>
      </c>
      <c r="I27">
        <v>11.74</v>
      </c>
      <c r="L27" t="s">
        <v>56</v>
      </c>
      <c r="M27" s="25">
        <v>0.45</v>
      </c>
      <c r="N27" t="s">
        <v>72</v>
      </c>
    </row>
    <row r="28" spans="1:16" x14ac:dyDescent="0.25">
      <c r="A28" s="24" t="s">
        <v>59</v>
      </c>
      <c r="B28" s="24"/>
      <c r="C28">
        <f>10.7/20</f>
        <v>0.53499999999999992</v>
      </c>
      <c r="F28" s="24" t="s">
        <v>59</v>
      </c>
      <c r="G28" s="24"/>
      <c r="H28">
        <f>11.675/20</f>
        <v>0.58374999999999999</v>
      </c>
      <c r="K28" s="24" t="s">
        <v>59</v>
      </c>
      <c r="L28" s="24"/>
      <c r="M28">
        <f>13.3/20</f>
        <v>0.66500000000000004</v>
      </c>
    </row>
    <row r="29" spans="1:16" x14ac:dyDescent="0.25">
      <c r="B29" t="s">
        <v>61</v>
      </c>
      <c r="G29" t="s">
        <v>63</v>
      </c>
      <c r="L29" s="27" t="s">
        <v>68</v>
      </c>
    </row>
    <row r="30" spans="1:16" x14ac:dyDescent="0.25">
      <c r="B30" t="s">
        <v>58</v>
      </c>
      <c r="G30" t="s">
        <v>65</v>
      </c>
      <c r="L30" t="s">
        <v>70</v>
      </c>
    </row>
    <row r="31" spans="1:16" x14ac:dyDescent="0.25">
      <c r="B31" t="s">
        <v>56</v>
      </c>
      <c r="C31" s="25">
        <v>0.45</v>
      </c>
      <c r="D31" t="s">
        <v>60</v>
      </c>
      <c r="G31" t="s">
        <v>56</v>
      </c>
      <c r="H31" s="25">
        <v>0.45</v>
      </c>
      <c r="I31" t="s">
        <v>66</v>
      </c>
      <c r="L31" t="s">
        <v>56</v>
      </c>
      <c r="M31" s="25">
        <v>0.4</v>
      </c>
      <c r="N31" t="s">
        <v>71</v>
      </c>
    </row>
    <row r="32" spans="1:16" x14ac:dyDescent="0.25">
      <c r="A32" s="24" t="s">
        <v>59</v>
      </c>
      <c r="B32" s="24"/>
      <c r="C32">
        <f>12.4/20</f>
        <v>0.62</v>
      </c>
      <c r="F32" s="24" t="s">
        <v>59</v>
      </c>
      <c r="G32" s="24"/>
      <c r="H32">
        <f>13.176/20</f>
        <v>0.65880000000000005</v>
      </c>
      <c r="K32" s="24" t="s">
        <v>59</v>
      </c>
      <c r="L32" s="24"/>
      <c r="M32">
        <f>14.8/20</f>
        <v>0.74</v>
      </c>
    </row>
    <row r="35" spans="1:4" x14ac:dyDescent="0.25">
      <c r="A35" t="s">
        <v>73</v>
      </c>
    </row>
    <row r="36" spans="1:4" x14ac:dyDescent="0.25">
      <c r="A36" t="s">
        <v>75</v>
      </c>
    </row>
    <row r="37" spans="1:4" x14ac:dyDescent="0.25">
      <c r="A37" t="s">
        <v>76</v>
      </c>
    </row>
    <row r="39" spans="1:4" x14ac:dyDescent="0.25">
      <c r="A39" t="s">
        <v>77</v>
      </c>
      <c r="C39" t="s">
        <v>79</v>
      </c>
    </row>
    <row r="40" spans="1:4" x14ac:dyDescent="0.25">
      <c r="A40">
        <f>8 *1.2</f>
        <v>9.6</v>
      </c>
      <c r="B40" t="s">
        <v>78</v>
      </c>
    </row>
    <row r="42" spans="1:4" x14ac:dyDescent="0.25">
      <c r="A42" s="28" t="s">
        <v>80</v>
      </c>
      <c r="B42" s="28"/>
      <c r="C42" s="28" t="s">
        <v>79</v>
      </c>
    </row>
    <row r="43" spans="1:4" x14ac:dyDescent="0.25">
      <c r="A43" s="28">
        <f>8.6*1.2</f>
        <v>10.319999999999999</v>
      </c>
      <c r="B43" s="28" t="s">
        <v>78</v>
      </c>
      <c r="C43" s="28" t="s">
        <v>81</v>
      </c>
    </row>
    <row r="45" spans="1:4" x14ac:dyDescent="0.25">
      <c r="D45" t="s">
        <v>82</v>
      </c>
    </row>
  </sheetData>
  <mergeCells count="7">
    <mergeCell ref="A19:L19"/>
    <mergeCell ref="A28:B28"/>
    <mergeCell ref="A32:B32"/>
    <mergeCell ref="F28:G28"/>
    <mergeCell ref="F32:G32"/>
    <mergeCell ref="K28:L28"/>
    <mergeCell ref="K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Burnett, Matthew</cp:lastModifiedBy>
  <cp:revision/>
  <dcterms:created xsi:type="dcterms:W3CDTF">2026-02-05T19:59:19Z</dcterms:created>
  <dcterms:modified xsi:type="dcterms:W3CDTF">2026-02-18T07:43:29Z</dcterms:modified>
  <cp:category/>
  <cp:contentStatus/>
</cp:coreProperties>
</file>